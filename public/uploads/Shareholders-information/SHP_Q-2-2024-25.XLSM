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E:\YASHIKA BACK\d drive\YASHIKA\#Listed Companies\Intellivate\2024-2025\BSE\QUARTERLY COMPL\july-sept\SHP\"/>
    </mc:Choice>
  </mc:AlternateContent>
  <bookViews>
    <workbookView xWindow="0" yWindow="0" windowWidth="20430" windowHeight="7440" tabRatio="907" firstSheet="40" activeTab="53"/>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r:id="rId8"/>
    <sheet name="Banks" sheetId="4" r:id="rId9"/>
    <sheet name="OtherIND" sheetId="5" state="hidden" r:id="rId10"/>
    <sheet name="Individuals" sheetId="6" r:id="rId11"/>
    <sheet name="Government" sheetId="10" r:id="rId12"/>
    <sheet name="Institutions" sheetId="11" r:id="rId13"/>
    <sheet name="FPIPromoter" sheetId="14" r:id="rId14"/>
    <sheet name="OtherForeign" sheetId="15" r:id="rId15"/>
    <sheet name="MutuaFund" sheetId="16" r:id="rId16"/>
    <sheet name="VentureCap" sheetId="17" r:id="rId17"/>
    <sheet name="AIF" sheetId="18" r:id="rId18"/>
    <sheet name="FVC" sheetId="19" r:id="rId19"/>
    <sheet name="FPI_Insti" sheetId="20" state="hidden" r:id="rId20"/>
    <sheet name="Bank_Insti" sheetId="21" r:id="rId21"/>
    <sheet name="Insurance" sheetId="22" r:id="rId22"/>
    <sheet name="Bodies Corporate" sheetId="71" state="hidden" r:id="rId23"/>
    <sheet name="Foreign Companies" sheetId="70" r:id="rId24"/>
    <sheet name="Foreign Nationals" sheetId="69" r:id="rId25"/>
    <sheet name="Non Resident Indians (NRIs)" sheetId="68" state="hidden" r:id="rId26"/>
    <sheet name="Investor Education" sheetId="67" r:id="rId27"/>
    <sheet name="Trusts where any person" sheetId="66" r:id="rId28"/>
    <sheet name="Relatives of promoters" sheetId="65" r:id="rId29"/>
    <sheet name="Key Managerial Personnel" sheetId="64" r:id="rId30"/>
    <sheet name="Directors and their relatives" sheetId="63" r:id="rId31"/>
    <sheet name="Associate companies_Subsidiar" sheetId="62" r:id="rId32"/>
    <sheet name="Shareholding by Companies" sheetId="61" r:id="rId33"/>
    <sheet name="State Government_Governor" sheetId="60" r:id="rId34"/>
    <sheet name="CG&amp;SG&amp;PI" sheetId="25" r:id="rId35"/>
    <sheet name="Other_Insti (Foreign)" sheetId="59" r:id="rId36"/>
    <sheet name="Other_Insti" sheetId="24" r:id="rId37"/>
    <sheet name="Foreign Portfolio Category II" sheetId="58" state="hidden" r:id="rId38"/>
    <sheet name="Sovereign Wealth(Foreign)" sheetId="57" r:id="rId39"/>
    <sheet name="Foreign Direct Investment" sheetId="56" r:id="rId40"/>
    <sheet name="Other Financial Institutions" sheetId="55" r:id="rId41"/>
    <sheet name="Sovereign Wealth(Domestic)" sheetId="54" r:id="rId42"/>
    <sheet name="AssetReconstruct" sheetId="53" r:id="rId43"/>
    <sheet name="Pension" sheetId="23" r:id="rId44"/>
    <sheet name="Indivisual(aI)" sheetId="26" state="hidden" r:id="rId45"/>
    <sheet name="Indivisual(aII)" sheetId="28" state="hidden" r:id="rId46"/>
    <sheet name="NBFC" sheetId="31" r:id="rId47"/>
    <sheet name="EmpTrust" sheetId="32" state="hidden" r:id="rId48"/>
    <sheet name="OD" sheetId="33" r:id="rId49"/>
    <sheet name="Other_NonInsti" sheetId="34" state="hidden" r:id="rId50"/>
    <sheet name="Annexure B" sheetId="72" r:id="rId51"/>
    <sheet name="Taxonomy" sheetId="45" state="hidden" r:id="rId52"/>
    <sheet name="DRHolder" sheetId="36" r:id="rId53"/>
    <sheet name="EBT" sheetId="38"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8" i="34" l="1"/>
  <c r="Q18" i="34"/>
  <c r="M18" i="34"/>
  <c r="X18" i="34" s="1"/>
  <c r="U17" i="34"/>
  <c r="Q17" i="34"/>
  <c r="M17" i="34"/>
  <c r="X17" i="34" s="1"/>
  <c r="U16" i="34"/>
  <c r="Q16" i="34"/>
  <c r="M16" i="34"/>
  <c r="X16" i="34" s="1"/>
  <c r="U15" i="34"/>
  <c r="Q15" i="34"/>
  <c r="M15" i="34"/>
  <c r="X15" i="34" s="1"/>
  <c r="AC18" i="71"/>
  <c r="S18" i="71"/>
  <c r="O18" i="71"/>
  <c r="K18" i="71"/>
  <c r="V18" i="71" s="1"/>
  <c r="AC17" i="71"/>
  <c r="S17" i="71"/>
  <c r="O17" i="71"/>
  <c r="K17" i="71"/>
  <c r="V17" i="71" s="1"/>
  <c r="AC16" i="71"/>
  <c r="S16" i="71"/>
  <c r="O16" i="71"/>
  <c r="K16" i="71"/>
  <c r="V16" i="71" s="1"/>
  <c r="AC15" i="71"/>
  <c r="S15" i="71"/>
  <c r="O15" i="71"/>
  <c r="K15" i="71"/>
  <c r="V15" i="71" s="1"/>
  <c r="AC16" i="28"/>
  <c r="S16" i="28"/>
  <c r="O16" i="28"/>
  <c r="K16" i="28"/>
  <c r="V16" i="28" s="1"/>
  <c r="AC15" i="28"/>
  <c r="S15" i="28"/>
  <c r="O15" i="28"/>
  <c r="K15" i="28"/>
  <c r="V15" i="28" s="1"/>
  <c r="AD17" i="5"/>
  <c r="U17" i="5"/>
  <c r="O17" i="5"/>
  <c r="Q17" i="5" s="1"/>
  <c r="M17" i="5"/>
  <c r="X17" i="5" s="1"/>
  <c r="AD16" i="5"/>
  <c r="U16" i="5"/>
  <c r="Q16" i="5"/>
  <c r="M16" i="5"/>
  <c r="Z16" i="5" s="1"/>
  <c r="AD15" i="5"/>
  <c r="U15" i="5"/>
  <c r="Q15" i="5"/>
  <c r="M15" i="5"/>
  <c r="Z15" i="5" s="1"/>
  <c r="S16" i="2"/>
  <c r="O16" i="2"/>
  <c r="K16" i="2"/>
  <c r="X16" i="2" s="1"/>
  <c r="S15" i="2"/>
  <c r="O15" i="2"/>
  <c r="K15" i="2"/>
  <c r="X15" i="2" s="1"/>
  <c r="X16" i="5" l="1"/>
  <c r="Z17" i="5"/>
  <c r="X15" i="5"/>
  <c r="V16" i="2"/>
  <c r="V15" i="2"/>
  <c r="AC41" i="1"/>
  <c r="AA41" i="1"/>
  <c r="T44" i="1" l="1"/>
  <c r="T45" i="1"/>
  <c r="T46" i="1"/>
  <c r="T47" i="1"/>
  <c r="P44" i="1"/>
  <c r="P45" i="1"/>
  <c r="AA20" i="71" l="1"/>
  <c r="Z20" i="71"/>
  <c r="Y20" i="71"/>
  <c r="AA16" i="70"/>
  <c r="Z16" i="70"/>
  <c r="Y16" i="70"/>
  <c r="AA16" i="69"/>
  <c r="Z16" i="69"/>
  <c r="Y16" i="69"/>
  <c r="AA16" i="68"/>
  <c r="Z16" i="68"/>
  <c r="Y16" i="68"/>
  <c r="AA18" i="28"/>
  <c r="Z18" i="28"/>
  <c r="Y18"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6" i="1"/>
  <c r="P67" i="1"/>
  <c r="L58" i="1"/>
  <c r="W58" i="1" s="1"/>
  <c r="L59" i="1"/>
  <c r="W59" i="1" s="1"/>
  <c r="L60" i="1"/>
  <c r="W60" i="1" s="1"/>
  <c r="L61" i="1"/>
  <c r="W61" i="1" s="1"/>
  <c r="L62" i="1"/>
  <c r="W62" i="1" s="1"/>
  <c r="W63" i="1"/>
  <c r="W64" i="1"/>
  <c r="W65" i="1"/>
  <c r="L66" i="1"/>
  <c r="W66" i="1" s="1"/>
  <c r="L67" i="1"/>
  <c r="W67" i="1" s="1"/>
  <c r="W68" i="1"/>
  <c r="W69" i="1"/>
  <c r="L44" i="1"/>
  <c r="W44" i="1" s="1"/>
  <c r="L45" i="1"/>
  <c r="W45" i="1" s="1"/>
  <c r="W46" i="1"/>
  <c r="W47" i="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20" i="71"/>
  <c r="W20" i="71"/>
  <c r="U20" i="71"/>
  <c r="S20" i="71"/>
  <c r="R20" i="71"/>
  <c r="Q20" i="71"/>
  <c r="N20" i="71"/>
  <c r="K20" i="71"/>
  <c r="J20" i="71"/>
  <c r="I20" i="71"/>
  <c r="H20"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20"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20"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20" i="34" l="1"/>
  <c r="K16" i="24"/>
  <c r="I16" i="24"/>
  <c r="I3" i="24"/>
  <c r="J16" i="24" l="1"/>
  <c r="L16" i="24"/>
  <c r="L3" i="24"/>
  <c r="K3" i="24"/>
  <c r="J3" i="24"/>
  <c r="G16" i="38" l="1"/>
  <c r="H16" i="36"/>
  <c r="AA16" i="15" l="1"/>
  <c r="Y16" i="15"/>
  <c r="W16" i="15"/>
  <c r="T16" i="15"/>
  <c r="P16" i="15"/>
  <c r="L16" i="15"/>
  <c r="K16" i="15"/>
  <c r="I16" i="15"/>
  <c r="AA19" i="5"/>
  <c r="P19" i="5"/>
  <c r="L19" i="5"/>
  <c r="I19" i="5"/>
  <c r="K19" i="5" l="1"/>
  <c r="T19"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9" i="5" l="1"/>
  <c r="Z70" i="1"/>
  <c r="Z71" i="1" s="1"/>
  <c r="O70" i="1" l="1"/>
  <c r="O71" i="1" s="1"/>
  <c r="U19" i="5"/>
  <c r="S19" i="5"/>
  <c r="U16" i="15" l="1"/>
  <c r="S16" i="15"/>
  <c r="W19" i="5"/>
  <c r="M16" i="15"/>
  <c r="Q16" i="15"/>
  <c r="J16" i="15"/>
  <c r="M19" i="5"/>
  <c r="Q19" i="5"/>
  <c r="O19" i="5"/>
  <c r="X19" i="5" l="1"/>
  <c r="X16" i="15"/>
  <c r="Z16" i="15"/>
  <c r="Y19" i="5"/>
  <c r="Z19"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20" i="34" l="1"/>
  <c r="L20" i="34"/>
  <c r="K20" i="34"/>
  <c r="J3" i="34"/>
  <c r="V16" i="25"/>
  <c r="AC13" i="11"/>
  <c r="N13" i="5"/>
  <c r="V13" i="5"/>
  <c r="T13" i="3"/>
  <c r="L13" i="2"/>
  <c r="L13" i="4"/>
  <c r="T13" i="4"/>
  <c r="AC13" i="6"/>
  <c r="AC13" i="16"/>
  <c r="AC13" i="14"/>
  <c r="AC13" i="18"/>
  <c r="M20"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8" i="28"/>
  <c r="U18" i="28"/>
  <c r="R18" i="28"/>
  <c r="Q18" i="28"/>
  <c r="O18" i="28"/>
  <c r="N18" i="28"/>
  <c r="M18" i="28"/>
  <c r="J18" i="28"/>
  <c r="I18" i="28"/>
  <c r="H18"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W18" i="2"/>
  <c r="U18" i="2"/>
  <c r="R18" i="2"/>
  <c r="S14" i="1" s="1"/>
  <c r="Q18" i="2"/>
  <c r="R14" i="1" s="1"/>
  <c r="J18" i="2"/>
  <c r="K14" i="1" s="1"/>
  <c r="I18" i="2"/>
  <c r="J14" i="1" s="1"/>
  <c r="S18" i="2"/>
  <c r="T14" i="1" s="1"/>
  <c r="K18" i="2"/>
  <c r="X14" i="1" l="1"/>
  <c r="X18" i="2"/>
  <c r="V18" i="2"/>
  <c r="J16" i="44"/>
  <c r="K77" i="1"/>
  <c r="J15" i="44" s="1"/>
  <c r="L75" i="1"/>
  <c r="W75" i="1" s="1"/>
  <c r="V16" i="44" s="1"/>
  <c r="J17" i="44"/>
  <c r="L76" i="1"/>
  <c r="S18" i="28"/>
  <c r="K18" i="28"/>
  <c r="V18"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X17" i="1"/>
  <c r="T17" i="1"/>
  <c r="S17" i="1"/>
  <c r="O17" i="1"/>
  <c r="K17" i="1"/>
  <c r="J17" i="1"/>
  <c r="L25" i="1" l="1"/>
  <c r="Y17" i="1"/>
  <c r="Y23" i="1"/>
  <c r="W23" i="1"/>
  <c r="X25" i="1"/>
  <c r="Z18" i="1"/>
  <c r="Z26" i="1" s="1"/>
  <c r="T18" i="1"/>
  <c r="P18" i="1"/>
  <c r="N18" i="2"/>
  <c r="O14" i="1" s="1"/>
  <c r="M18" i="2"/>
  <c r="H18" i="2"/>
  <c r="Y25" i="1" l="1"/>
  <c r="I18" i="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T16" i="4"/>
  <c r="L16" i="4"/>
  <c r="M16" i="1"/>
  <c r="U16" i="1"/>
  <c r="Q16" i="16"/>
  <c r="R16" i="16"/>
  <c r="R26" i="1"/>
  <c r="N24" i="1"/>
  <c r="N25" i="1" s="1"/>
  <c r="N18" i="1"/>
  <c r="W18" i="44"/>
  <c r="L16" i="32"/>
  <c r="T16" i="32"/>
  <c r="T16" i="38"/>
  <c r="L16" i="38"/>
  <c r="X13" i="44"/>
  <c r="S16" i="16" l="1"/>
  <c r="Q13" i="44"/>
  <c r="V24" i="1"/>
  <c r="W24" i="1" s="1"/>
  <c r="W17" i="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P16" i="4"/>
  <c r="Q16" i="1" s="1"/>
  <c r="AG13" i="15" l="1"/>
  <c r="H24"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7" i="5" s="1"/>
  <c r="R15" i="34" l="1"/>
  <c r="R18" i="34"/>
  <c r="R16" i="34"/>
  <c r="R17" i="34"/>
  <c r="P18" i="71"/>
  <c r="P15" i="71"/>
  <c r="P16" i="71"/>
  <c r="P17" i="71"/>
  <c r="R16" i="5"/>
  <c r="P16" i="28"/>
  <c r="P15" i="28"/>
  <c r="R15" i="5"/>
  <c r="R19" i="5"/>
  <c r="Q17" i="1" s="1"/>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20" i="71"/>
  <c r="P16" i="53"/>
  <c r="P16" i="31"/>
  <c r="P16" i="22"/>
  <c r="P16" i="21"/>
  <c r="P16" i="20"/>
  <c r="P16" i="18"/>
  <c r="P16" i="17"/>
  <c r="P16" i="19"/>
  <c r="P16" i="25"/>
  <c r="P18"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N17" i="5" l="1"/>
  <c r="V17" i="5"/>
  <c r="V17" i="34"/>
  <c r="N17" i="34"/>
  <c r="V16" i="34"/>
  <c r="N16" i="34"/>
  <c r="V15" i="34"/>
  <c r="V18" i="34"/>
  <c r="N18" i="34"/>
  <c r="N15" i="34"/>
  <c r="T18" i="71"/>
  <c r="L17" i="71"/>
  <c r="T17" i="71"/>
  <c r="T16" i="71"/>
  <c r="T15" i="71"/>
  <c r="L18" i="71"/>
  <c r="L16" i="71"/>
  <c r="L15" i="71"/>
  <c r="L15" i="28"/>
  <c r="T16" i="28"/>
  <c r="L16" i="28"/>
  <c r="T15" i="28"/>
  <c r="V16" i="5"/>
  <c r="N16" i="5"/>
  <c r="N15" i="5"/>
  <c r="V15" i="5"/>
  <c r="V19" i="5"/>
  <c r="N19" i="5"/>
  <c r="M17" i="1"/>
  <c r="U17" i="1"/>
  <c r="T16" i="2"/>
  <c r="L16" i="2"/>
  <c r="L15" i="2"/>
  <c r="T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20" i="71"/>
  <c r="T16" i="60"/>
  <c r="L16" i="62"/>
  <c r="T16" i="70"/>
  <c r="T16" i="56"/>
  <c r="L16" i="60"/>
  <c r="L16" i="58"/>
  <c r="L16" i="54"/>
  <c r="T16" i="68"/>
  <c r="T16" i="69"/>
  <c r="T20" i="71"/>
  <c r="L16" i="68"/>
  <c r="T16" i="64"/>
  <c r="T16" i="67"/>
  <c r="T16" i="66"/>
  <c r="L16" i="63"/>
  <c r="L16" i="57"/>
  <c r="T16" i="65"/>
  <c r="L16" i="64"/>
  <c r="T16" i="63"/>
  <c r="T16" i="53"/>
  <c r="L16" i="53"/>
  <c r="L16" i="20"/>
  <c r="T16" i="17"/>
  <c r="L16" i="22"/>
  <c r="L16" i="25"/>
  <c r="L16" i="17"/>
  <c r="L18" i="28"/>
  <c r="T16" i="25"/>
  <c r="L16" i="26"/>
  <c r="T16" i="21"/>
  <c r="T16" i="19"/>
  <c r="L16" i="18"/>
  <c r="T16" i="33"/>
  <c r="T18"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F17" i="5" l="1"/>
  <c r="AF15" i="5"/>
  <c r="AF16" i="5"/>
  <c r="AD13" i="5"/>
  <c r="AC15" i="2"/>
  <c r="AC16" i="2"/>
  <c r="AD13" i="6"/>
  <c r="H20" i="1" s="1"/>
  <c r="AD1" i="3"/>
  <c r="AD13" i="14"/>
  <c r="H23" i="1" s="1"/>
  <c r="V3" i="24"/>
  <c r="V16" i="24"/>
  <c r="V20"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20" i="34"/>
  <c r="AB20" i="34"/>
  <c r="AA20" i="34"/>
  <c r="N20" i="34"/>
  <c r="P20" i="34"/>
  <c r="O20" i="34"/>
  <c r="N3" i="34"/>
  <c r="O3" i="34"/>
  <c r="Q3" i="34"/>
  <c r="Q20" i="34"/>
  <c r="P3" i="34"/>
  <c r="U3" i="34"/>
  <c r="W20" i="34"/>
  <c r="X20" i="34" s="1"/>
  <c r="T20" i="34"/>
  <c r="Y20" i="34"/>
  <c r="S3" i="34"/>
  <c r="X3" i="34"/>
  <c r="Y3" i="34"/>
  <c r="W3" i="34"/>
  <c r="U20" i="34"/>
  <c r="T3" i="34"/>
  <c r="S20" i="34"/>
  <c r="R3" i="34"/>
  <c r="R20" i="34"/>
  <c r="T14" i="44"/>
  <c r="U79" i="1"/>
  <c r="T18" i="44" s="1"/>
  <c r="AG13" i="5" l="1"/>
  <c r="AD13" i="2"/>
  <c r="H25" i="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<sst xmlns="http://schemas.openxmlformats.org/spreadsheetml/2006/main" count="4569" uniqueCount="891">
  <si>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</si>
  <si>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</si>
  <si>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</si>
  <si>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</si>
  <si>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</si>
  <si>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</si>
  <si>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</si>
  <si>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</si>
  <si>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</si>
  <si>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</si>
  <si>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</si>
  <si>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</si>
  <si>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</si>
  <si>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</si>
  <si>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</si>
  <si>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</si>
  <si>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</si>
  <si>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</si>
  <si>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</si>
  <si>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</si>
  <si>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</si>
  <si>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</si>
  <si>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</si>
  <si>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</si>
  <si>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</si>
  <si>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</si>
  <si>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</si>
  <si>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</si>
  <si>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</si>
  <si>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</si>
  <si>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</si>
  <si>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</si>
  <si>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</si>
  <si>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</si>
  <si>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</si>
  <si>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</si>
  <si>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</si>
  <si>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</si>
  <si>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</si>
  <si>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</si>
  <si>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</si>
  <si>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</si>
  <si>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</si>
  <si>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</si>
  <si>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</si>
  <si>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</si>
  <si>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</si>
  <si>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</si>
  <si>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</si>
  <si>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</si>
  <si>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</si>
  <si>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</si>
  <si>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</si>
  <si>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</si>
  <si>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</si>
  <si>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</si>
  <si>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</si>
  <si>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</si>
  <si>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</si>
  <si>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</si>
  <si>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</si>
  <si>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</si>
  <si>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</si>
  <si>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</si>
  <si>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</si>
  <si>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</si>
  <si>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</si>
  <si>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</si>
  <si>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</si>
  <si>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</si>
  <si>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</si>
  <si>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</si>
  <si>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</si>
  <si>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</si>
  <si>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</si>
  <si>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</si>
  <si>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</si>
  <si>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</si>
  <si>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</si>
  <si>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</si>
  <si>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</si>
  <si>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</si>
  <si>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</si>
  <si>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</si>
  <si>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</si>
  <si>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</si>
  <si>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</si>
  <si>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</si>
  <si>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</si>
  <si>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</si>
  <si>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</si>
  <si>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</si>
  <si>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</si>
  <si>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</si>
  <si>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</si>
  <si>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</si>
  <si>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</si>
  <si>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</si>
  <si>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</si>
  <si>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</si>
  <si>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</si>
  <si>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</si>
  <si>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</si>
  <si>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</si>
  <si>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</si>
  <si>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</si>
  <si>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</si>
  <si>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</si>
  <si>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</si>
  <si>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</si>
  <si>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</si>
  <si>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</si>
  <si>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</si>
  <si>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</si>
  <si>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</si>
  <si>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</si>
  <si>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</si>
  <si>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</si>
  <si>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</si>
  <si>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</si>
  <si>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</si>
  <si>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</si>
  <si>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</si>
  <si>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</si>
  <si>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</si>
  <si>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</si>
  <si>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</si>
  <si>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</si>
  <si>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</si>
  <si>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</si>
  <si>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</si>
  <si>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</si>
  <si>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</si>
  <si>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</si>
  <si>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</si>
  <si>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</si>
  <si>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</si>
  <si>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</si>
  <si>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</si>
  <si>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</si>
  <si>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</si>
  <si>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</si>
  <si>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</si>
  <si>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</si>
  <si>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</si>
  <si>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</si>
  <si>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</si>
  <si>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</si>
  <si>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</si>
  <si>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</si>
  <si>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</si>
  <si>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</si>
  <si>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</si>
  <si>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</si>
  <si>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</si>
  <si>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</si>
  <si>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</si>
  <si>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</si>
  <si>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</si>
  <si>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</si>
  <si>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</si>
  <si>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</si>
  <si>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</si>
  <si>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</si>
  <si>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</si>
  <si>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</si>
  <si>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</si>
  <si>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</si>
  <si>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</si>
  <si>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</si>
  <si>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</si>
  <si>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</si>
  <si>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</si>
  <si>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</si>
  <si>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</si>
  <si>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</si>
  <si>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</si>
  <si>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</si>
  <si>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</si>
  <si>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</si>
  <si>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</si>
  <si>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</si>
  <si>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</si>
  <si>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</si>
  <si>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</si>
  <si>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</si>
  <si>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</si>
  <si>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</si>
  <si>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</si>
  <si>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</si>
  <si>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</si>
  <si>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</si>
  <si>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</si>
  <si>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</si>
  <si>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</si>
  <si>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</si>
  <si>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</si>
  <si>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</si>
  <si>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</si>
  <si>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</si>
  <si>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</si>
  <si>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</si>
  <si>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</si>
  <si>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</si>
  <si>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</si>
  <si>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</si>
  <si>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</si>
  <si>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</si>
  <si>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</si>
  <si>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</si>
  <si>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</si>
  <si>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</si>
  <si>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</si>
  <si>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</si>
  <si>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</si>
  <si>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</si>
  <si>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</si>
  <si>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</si>
  <si>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</si>
  <si>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</si>
  <si>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</si>
  <si>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</si>
  <si>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</si>
  <si>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</si>
  <si>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</si>
  <si>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</si>
  <si>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</si>
  <si>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</si>
  <si>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</si>
  <si>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</si>
  <si>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</si>
  <si>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</si>
  <si>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</si>
  <si>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</si>
  <si>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</si>
  <si>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</si>
  <si>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</si>
  <si>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</si>
  <si>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</si>
  <si>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</si>
  <si>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</si>
  <si>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</si>
  <si>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</si>
  <si>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</si>
  <si>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</si>
  <si>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</si>
  <si>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</si>
  <si>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</si>
  <si>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</si>
  <si>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</si>
  <si>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</si>
  <si>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</si>
  <si>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</si>
  <si>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</si>
  <si>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</si>
  <si>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</si>
  <si>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</si>
  <si>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</si>
  <si>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</si>
  <si>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</si>
  <si>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</si>
  <si>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</si>
  <si>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</si>
  <si>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</si>
  <si>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</si>
  <si>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</si>
  <si>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</si>
  <si>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</si>
  <si>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</si>
  <si>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</si>
  <si>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</si>
  <si>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</si>
  <si>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</si>
  <si>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</si>
  <si>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</si>
  <si>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</si>
  <si>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</si>
  <si>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</si>
  <si>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</si>
  <si>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</si>
  <si>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</si>
  <si>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</si>
  <si>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</si>
  <si>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</si>
  <si>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</si>
  <si>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</si>
  <si>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</si>
  <si>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</si>
  <si>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</si>
  <si>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</si>
  <si>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</si>
  <si>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</si>
  <si>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</si>
  <si>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</si>
  <si>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</si>
  <si>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</si>
  <si>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</si>
  <si>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</si>
  <si>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</si>
  <si>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</si>
  <si>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</si>
  <si>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</si>
  <si>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</si>
  <si>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</si>
  <si>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</si>
  <si>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</si>
  <si>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</si>
  <si>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</si>
  <si>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</si>
  <si>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</si>
  <si>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</si>
  <si>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</si>
  <si>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</si>
  <si>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</si>
  <si>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</si>
  <si>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</si>
  <si>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</si>
  <si>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</si>
  <si>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</si>
  <si>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</si>
  <si>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</si>
  <si>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</si>
  <si>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</si>
  <si>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</si>
  <si>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</si>
  <si>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</si>
  <si>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</si>
  <si>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</si>
  <si>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</si>
  <si>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</si>
  <si>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</si>
  <si>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</si>
  <si>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</si>
  <si>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</si>
  <si>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</si>
  <si>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</si>
  <si>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</si>
  <si>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</si>
  <si>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</si>
  <si>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</si>
  <si>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</si>
  <si>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</si>
  <si>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</si>
  <si>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</si>
  <si>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</si>
  <si>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</si>
  <si>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</si>
  <si>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</si>
  <si>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</si>
  <si>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</si>
  <si>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</si>
  <si>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</si>
  <si>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</si>
  <si>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</si>
  <si>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</si>
  <si>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</si>
  <si>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</si>
  <si>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</si>
  <si>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</si>
  <si>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</si>
  <si>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</si>
  <si>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</si>
  <si>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</si>
  <si>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</si>
  <si>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</si>
  <si>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</si>
  <si>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</si>
  <si>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</si>
  <si>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</si>
  <si>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</si>
  <si>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</si>
  <si>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</si>
  <si>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</si>
  <si>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</si>
  <si>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</si>
  <si>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</si>
  <si>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</si>
  <si>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</si>
  <si>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</si>
  <si>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</si>
  <si>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</si>
  <si>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</si>
  <si>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</si>
  <si>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</si>
  <si>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</si>
  <si>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</si>
  <si>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</si>
  <si>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</si>
  <si>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</si>
  <si>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</si>
  <si>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</si>
  <si>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</si>
  <si>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</si>
  <si>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</si>
  <si>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</si>
  <si>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</si>
  <si>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</si>
  <si>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</si>
  <si>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</si>
  <si>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</si>
  <si>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</si>
  <si>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</si>
  <si>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</si>
  <si>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</si>
  <si>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</si>
  <si>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</si>
  <si>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</si>
  <si>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</si>
  <si>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</si>
  <si>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</si>
  <si>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</si>
  <si>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</si>
  <si>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</si>
  <si>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</si>
  <si>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</si>
  <si>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</si>
  <si>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</si>
  <si>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</si>
  <si>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</si>
  <si>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</si>
  <si>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</si>
  <si>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</si>
  <si>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</si>
  <si>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</si>
  <si>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</si>
  <si>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</si>
  <si>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</si>
  <si>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</si>
  <si>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</si>
  <si>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</si>
  <si>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</si>
  <si>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</si>
  <si>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</si>
  <si>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</si>
  <si>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</si>
  <si>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</si>
  <si>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</si>
  <si>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</si>
  <si>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</si>
  <si>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</si>
  <si>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</si>
  <si>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</si>
  <si>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</si>
  <si>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</si>
  <si>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</si>
  <si>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</si>
  <si>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</si>
  <si>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</si>
  <si>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</si>
  <si>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</si>
  <si>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</si>
  <si>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</si>
  <si>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</si>
  <si>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</si>
  <si>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</si>
  <si>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</si>
  <si>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</si>
  <si>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</si>
  <si>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</si>
  <si>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</si>
  <si>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</si>
  <si>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</si>
  <si>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</si>
  <si>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</si>
  <si>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</si>
  <si>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</si>
  <si>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</si>
  <si>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</si>
  <si>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</si>
  <si>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</si>
  <si>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</si>
  <si>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</si>
  <si>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</si>
  <si>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</si>
  <si>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</si>
  <si>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</si>
  <si>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</si>
  <si>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</si>
  <si>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</si>
  <si>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</si>
  <si>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</si>
  <si>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</si>
  <si>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</si>
  <si>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</si>
  <si>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</si>
  <si>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</si>
  <si>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</si>
  <si>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</si>
  <si>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</si>
  <si>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</si>
  <si>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</si>
  <si>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</si>
  <si>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</si>
  <si>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</si>
  <si>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</si>
  <si>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</si>
  <si>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</si>
  <si>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</si>
  <si>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</si>
  <si>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</si>
  <si>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</si>
  <si>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</si>
  <si>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</si>
  <si>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</si>
  <si>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</si>
  <si>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</si>
  <si>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</si>
  <si>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</si>
  <si>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</si>
  <si>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</si>
  <si>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</si>
  <si>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</si>
  <si>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</si>
  <si>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</si>
  <si>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</si>
  <si>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</si>
  <si>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</si>
  <si>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</si>
  <si>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</si>
  <si>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</si>
  <si>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</si>
  <si>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</si>
  <si>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</si>
  <si>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</si>
  <si>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</si>
  <si>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</si>
  <si>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</si>
  <si>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</si>
  <si>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</si>
  <si>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</si>
  <si>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</si>
  <si>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</si>
  <si>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</si>
  <si>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</si>
  <si>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</si>
  <si>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</si>
  <si>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</si>
  <si>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</si>
  <si>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</si>
  <si>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</si>
  <si>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</si>
  <si>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</si>
  <si>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</si>
  <si>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</si>
  <si>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</si>
  <si>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</si>
  <si>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</si>
  <si>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</si>
  <si>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</si>
  <si>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</si>
  <si>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</si>
  <si>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</si>
  <si>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</si>
  <si>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</si>
  <si>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</si>
  <si>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</si>
  <si>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</si>
  <si>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</si>
  <si>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</si>
  <si>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</si>
  <si>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</si>
  <si>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</si>
  <si>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</si>
  <si>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</si>
  <si>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</si>
  <si>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</si>
  <si>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</si>
  <si>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</si>
  <si>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</si>
  <si>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</si>
  <si>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</si>
  <si>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</si>
  <si>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</si>
  <si>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</si>
  <si>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</si>
  <si>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</si>
  <si>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</si>
  <si>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</si>
  <si>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</si>
  <si>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</si>
  <si>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</si>
  <si>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</si>
  <si>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</si>
  <si>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</si>
  <si>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</si>
  <si>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</si>
  <si>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</si>
  <si>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</si>
  <si>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</si>
  <si>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</si>
  <si>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</si>
  <si>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</si>
  <si>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</si>
  <si>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</si>
  <si>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</si>
  <si>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</si>
  <si>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</si>
  <si>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</si>
  <si>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</si>
  <si>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</si>
  <si>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</si>
  <si>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</si>
  <si>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</si>
  <si>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</si>
  <si>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</si>
  <si>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</si>
  <si>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</si>
  <si>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</si>
  <si>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</si>
  <si>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</si>
  <si>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</si>
  <si>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</si>
  <si>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</si>
  <si>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</si>
  <si>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</si>
  <si>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</si>
  <si>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</si>
  <si>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</si>
  <si>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</si>
  <si>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</si>
  <si>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</si>
  <si>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</si>
  <si>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</si>
  <si>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</si>
  <si>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</si>
  <si>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</si>
  <si>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</si>
  <si>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</si>
  <si>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</si>
  <si>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</si>
  <si>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</si>
  <si>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</si>
  <si>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</si>
  <si>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</si>
  <si>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</si>
  <si>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</si>
  <si>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</si>
  <si>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</si>
  <si>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</si>
  <si>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</si>
  <si>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</si>
  <si>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</si>
  <si>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</si>
  <si>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</si>
  <si>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</si>
  <si>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</si>
  <si>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</si>
  <si>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</si>
  <si>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</si>
  <si>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</si>
  <si>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</si>
  <si>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</si>
  <si>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</si>
  <si>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</si>
  <si>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</si>
  <si>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</si>
  <si>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</si>
  <si>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</si>
  <si>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</si>
  <si>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</si>
  <si>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</si>
  <si>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</si>
  <si>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</si>
  <si>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</si>
  <si>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</si>
  <si>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</si>
  <si>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</si>
  <si>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</si>
  <si>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</si>
  <si>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</si>
  <si>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</si>
  <si>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</si>
  <si>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</si>
  <si>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</si>
  <si>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</si>
  <si>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</si>
  <si>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</si>
  <si>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</si>
  <si>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</si>
  <si>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</si>
  <si>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</si>
  <si>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</si>
  <si>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</si>
  <si>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</si>
  <si>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</si>
  <si>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</si>
  <si>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</si>
  <si>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</si>
  <si>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</si>
  <si>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</si>
  <si>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</si>
  <si>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</si>
  <si>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</si>
  <si>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</si>
  <si>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</si>
  <si>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</si>
  <si>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</si>
  <si>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</si>
  <si>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</si>
  <si>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</si>
  <si>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</si>
  <si>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</si>
  <si>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</si>
  <si>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</si>
  <si>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</si>
  <si>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</si>
  <si>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</si>
  <si>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</si>
  <si>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</si>
  <si>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</si>
  <si>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</si>
  <si>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</si>
  <si>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</si>
  <si>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</si>
  <si>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</si>
  <si>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</si>
  <si>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</si>
  <si>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</si>
  <si>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</si>
  <si>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</si>
  <si>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</si>
  <si>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</si>
  <si>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</si>
  <si>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</si>
  <si>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</si>
  <si>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</si>
  <si>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</si>
  <si>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</si>
  <si>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</si>
  <si>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</si>
  <si>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</si>
  <si>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</si>
  <si>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</si>
  <si>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</si>
  <si>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</si>
  <si>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</si>
  <si>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</si>
  <si>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</si>
  <si>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</si>
  <si>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</si>
  <si>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</si>
  <si>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</si>
  <si>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</si>
  <si>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</si>
  <si>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</si>
  <si>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</si>
  <si>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</si>
  <si>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</si>
  <si>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</si>
  <si>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</si>
  <si>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</si>
  <si>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</si>
  <si>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</si>
  <si>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</si>
  <si>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</si>
  <si>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</si>
  <si>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</si>
  <si>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</si>
  <si>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</si>
  <si>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</si>
  <si>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</si>
  <si>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</si>
  <si>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</si>
  <si>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</si>
  <si>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</si>
  <si>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</si>
  <si>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</si>
  <si>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</si>
  <si>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</si>
  <si>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</si>
  <si>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</si>
  <si>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</si>
  <si>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</si>
  <si>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</si>
  <si>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</si>
  <si>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</si>
  <si>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</si>
  <si>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</si>
  <si>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</si>
  <si>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</si>
  <si>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</si>
  <si>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</si>
  <si>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</si>
  <si>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</si>
  <si>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</si>
  <si>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</si>
  <si>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</si>
  <si>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</si>
  <si>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</si>
  <si>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</si>
  <si>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</si>
  <si>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</si>
  <si>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</si>
  <si>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</si>
  <si>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</si>
  <si>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</si>
  <si>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</si>
  <si>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</si>
  <si>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</si>
  <si>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</si>
  <si>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</si>
  <si>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</si>
  <si>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</si>
  <si>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</si>
  <si>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</si>
  <si>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</si>
  <si>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</si>
  <si>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</si>
  <si>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</si>
  <si>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</si>
  <si>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</si>
  <si>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</si>
  <si>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</si>
  <si>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</si>
  <si>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</si>
  <si>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</si>
  <si>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</si>
  <si>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</si>
  <si>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</si>
  <si>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</si>
  <si>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</si>
  <si>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</si>
  <si>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</si>
  <si>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</si>
  <si>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</si>
  <si>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</si>
  <si>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</si>
  <si>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</si>
  <si>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</si>
  <si>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</si>
  <si>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</si>
  <si>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</si>
  <si>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</si>
  <si>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</si>
  <si>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</si>
  <si>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</si>
  <si>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</si>
  <si>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</si>
  <si>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</si>
  <si>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</si>
  <si>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</si>
  <si>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</si>
  <si>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</si>
  <si>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</si>
  <si>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</si>
  <si>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</si>
  <si>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</si>
  <si>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</si>
  <si>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</si>
  <si>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</si>
  <si>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</si>
  <si>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</si>
  <si>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</si>
  <si>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</si>
  <si>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</si>
  <si>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</si>
  <si>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</si>
  <si>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</si>
  <si>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</si>
  <si>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</si>
  <si>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</si>
  <si>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</si>
  <si>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</si>
  <si>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506134</t>
  </si>
  <si>
    <t>INE512D01028</t>
  </si>
  <si>
    <t>GOURMET GATEWAY INDIA LIMITED</t>
  </si>
  <si>
    <t>30-09-2024</t>
  </si>
  <si>
    <t>AMFINE CAPITAL MANAGEMENT PRIVATE LIMITED</t>
  </si>
  <si>
    <t>AAVCA3343C</t>
  </si>
  <si>
    <t>MAHAKRAM DEVELOPERS PVT LTD</t>
  </si>
  <si>
    <t>AAFCM1149L</t>
  </si>
  <si>
    <t>ANUBHAV DHAM</t>
  </si>
  <si>
    <t>APOPD0626A</t>
  </si>
  <si>
    <t>ANAMIKA DHAM</t>
  </si>
  <si>
    <t>APDPD3501P</t>
  </si>
  <si>
    <t>Yashna Family Trust</t>
  </si>
  <si>
    <t>K.A.INVESTMENTS CONSULTANCY LLP</t>
  </si>
  <si>
    <t>AADFL7917L</t>
  </si>
  <si>
    <t>AJAY DILKUSH SARUPRIA</t>
  </si>
  <si>
    <t>AKMPS1636E</t>
  </si>
  <si>
    <t>ASHISH CHUGH .</t>
  </si>
  <si>
    <t>ACZPC1166E</t>
  </si>
  <si>
    <t>APR PROPERTIES PRIVATE LIMITED</t>
  </si>
  <si>
    <t>AAJCA9378H</t>
  </si>
  <si>
    <t>BASUKINATH PROPERTIES PVT LTD</t>
  </si>
  <si>
    <t>AABCB4123D</t>
  </si>
  <si>
    <t>MAHALAXMI INNOVATIVE SERVICES LTD</t>
  </si>
  <si>
    <t>AADCM9810C</t>
  </si>
  <si>
    <t>AAATY9252G</t>
  </si>
  <si>
    <t>Anubhav Dham</t>
  </si>
  <si>
    <t>28-12-2021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</si>
</sst>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Red]0"/>
    <numFmt numFmtId="166" formatCode="0.00;[Red]0.00"/>
    <numFmt numFmtId="167"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47">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6" fontId="0" fillId="11" borderId="20"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165"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8" borderId="1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6" fontId="0" fillId="11" borderId="58" xfId="0" applyNumberFormat="1" applyFill="1" applyBorder="1"/>
    <xf numFmtId="166"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6"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6"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165" fontId="0" fillId="20" borderId="2" xfId="0" applyNumberFormat="1" applyFill="1" applyBorder="1" applyProtection="1">
      <protection hidden="1"/>
    </xf>
    <xf numFmtId="165" fontId="0" fillId="20" borderId="33"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Border="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5"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2" fontId="0" fillId="8" borderId="4" xfId="0" applyNumberFormat="1" applyFill="1" applyBorder="1" applyProtection="1">
      <protection locked="0"/>
    </xf>
    <xf numFmtId="0" fontId="0" fillId="12" borderId="4" xfId="0" applyFill="1" applyBorder="1" applyAlignment="1" applyProtection="1">
      <alignment wrapText="1"/>
    </xf>
    <xf numFmtId="0" fontId="37" fillId="8" borderId="46" xfId="0" applyFont="1" applyFill="1" applyBorder="1" applyProtection="1">
      <protection locked="0"/>
    </xf>
    <xf numFmtId="0" fontId="37" fillId="8" borderId="4" xfId="0" applyFont="1" applyFill="1" applyBorder="1" applyAlignment="1" applyProtection="1">
      <protection locked="0"/>
    </xf>
    <xf numFmtId="0" fontId="0" fillId="8" borderId="4" xfId="0" applyFill="1" applyBorder="1" applyProtection="1">
      <protection locked="0"/>
    </xf>
    <xf numFmtId="49" fontId="0" fillId="8" borderId="4" xfId="0" applyNumberFormat="1" applyFill="1" applyBorder="1" applyProtection="1">
      <protection locked="0"/>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5" fontId="0" fillId="11" borderId="4" xfId="0" applyNumberFormat="1" applyFill="1" applyBorder="1" applyAlignment="1" applyProtection="1">
      <alignment horizontal="right"/>
      <protection hidden="1"/>
    </xf>
    <xf numFmtId="165" fontId="0" fillId="8" borderId="1" xfId="0" applyNumberFormat="1" applyFill="1" applyBorder="1" applyAlignment="1" applyProtection="1">
      <alignment horizontal="right"/>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0" fontId="1" fillId="4" borderId="20" xfId="0" applyFont="1" applyFill="1" applyBorder="1" applyAlignment="1">
      <alignment horizontal="right" wrapText="1"/>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4" borderId="4" xfId="0" applyFont="1" applyFill="1" applyBorder="1" applyAlignment="1">
      <alignment horizontal="center" vertical="center" wrapText="1"/>
    </xf>
    <xf numFmtId="1" fontId="0" fillId="4" borderId="4"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0" fillId="4" borderId="1" xfId="0"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66675</xdr:colOff>
          <xdr:row>14</xdr:row>
          <xdr:rowOff>66675</xdr:rowOff>
        </xdr:from>
        <xdr:to>
          <xdr:col>27</xdr:col>
          <xdr:colOff>1314450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15</xdr:row>
          <xdr:rowOff>66675</xdr:rowOff>
        </xdr:from>
        <xdr:to>
          <xdr:col>27</xdr:col>
          <xdr:colOff>1314450</xdr:colOff>
          <xdr:row>15</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16</xdr:row>
          <xdr:rowOff>66675</xdr:rowOff>
        </xdr:from>
        <xdr:to>
          <xdr:col>27</xdr:col>
          <xdr:colOff>1314450</xdr:colOff>
          <xdr:row>16</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1314450</xdr:colOff>
          <xdr:row>16</xdr:row>
          <xdr:rowOff>266700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17</xdr:row>
          <xdr:rowOff>66675</xdr:rowOff>
        </xdr:from>
        <xdr:to>
          <xdr:col>23</xdr:col>
          <xdr:colOff>1314450</xdr:colOff>
          <xdr:row>17</xdr:row>
          <xdr:rowOff>266700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51202" name="Button 2" hidden="1">
              <a:extLst>
                <a:ext uri="{63B3BB69-23CF-44E3-9099-C40C66FF867C}">
                  <a14:compatExt spid="_x0000_s512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16</xdr:row>
          <xdr:rowOff>66675</xdr:rowOff>
        </xdr:from>
        <xdr:to>
          <xdr:col>25</xdr:col>
          <xdr:colOff>1314450</xdr:colOff>
          <xdr:row>16</xdr:row>
          <xdr:rowOff>266700</xdr:rowOff>
        </xdr:to>
        <xdr:sp macro="" textlink="">
          <xdr:nvSpPr>
            <xdr:cNvPr id="51203" name="Button 3" hidden="1">
              <a:extLst>
                <a:ext uri="{63B3BB69-23CF-44E3-9099-C40C66FF867C}">
                  <a14:compatExt spid="_x0000_s512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17</xdr:row>
          <xdr:rowOff>66675</xdr:rowOff>
        </xdr:from>
        <xdr:to>
          <xdr:col>25</xdr:col>
          <xdr:colOff>1314450</xdr:colOff>
          <xdr:row>17</xdr:row>
          <xdr:rowOff>266700</xdr:rowOff>
        </xdr:to>
        <xdr:sp macro="" textlink="">
          <xdr:nvSpPr>
            <xdr:cNvPr id="51204" name="Button 4" hidden="1">
              <a:extLst>
                <a:ext uri="{63B3BB69-23CF-44E3-9099-C40C66FF867C}">
                  <a14:compatExt spid="_x0000_s512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6.xml"/><Relationship Id="rId4" Type="http://schemas.openxmlformats.org/officeDocument/2006/relationships/ctrlProp" Target="../ctrlProps/ctrlProp1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5.xml"/><Relationship Id="rId2" Type="http://schemas.openxmlformats.org/officeDocument/2006/relationships/drawing" Target="../drawings/drawing50.xml"/><Relationship Id="rId1" Type="http://schemas.openxmlformats.org/officeDocument/2006/relationships/printerSettings" Target="../printerSettings/printerSettings2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topLeftCell="A36" workbookViewId="0">
      <selection activeCell="E6" sqref="E6:I6"/>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48"/>
    </row>
    <row r="3" spans="4:10">
      <c r="I3" s="248"/>
    </row>
    <row r="4" spans="4:10">
      <c r="I4" s="248"/>
    </row>
    <row r="5" spans="4:10">
      <c r="I5" s="248"/>
    </row>
    <row r="6" spans="4:10">
      <c r="E6" s="482" t="s">
        <v>396</v>
      </c>
      <c r="F6" s="483"/>
      <c r="G6" s="483"/>
      <c r="H6" s="483"/>
      <c r="I6" s="484"/>
    </row>
    <row r="7" spans="4:10">
      <c r="E7" s="249" t="s">
        <v>397</v>
      </c>
      <c r="F7" s="485" t="s">
        <v>398</v>
      </c>
      <c r="G7" s="486"/>
      <c r="H7" s="486"/>
      <c r="I7" s="487"/>
    </row>
    <row r="8" spans="4:10">
      <c r="E8" s="249" t="s">
        <v>399</v>
      </c>
      <c r="F8" s="485" t="s">
        <v>400</v>
      </c>
      <c r="G8" s="488"/>
      <c r="H8" s="488"/>
      <c r="I8" s="489"/>
    </row>
    <row r="9" spans="4:10">
      <c r="E9" s="249" t="s">
        <v>401</v>
      </c>
      <c r="F9" s="485" t="s">
        <v>402</v>
      </c>
      <c r="G9" s="488"/>
      <c r="H9" s="488"/>
      <c r="I9" s="489"/>
    </row>
    <row r="10" spans="4:10">
      <c r="E10" s="249" t="s">
        <v>403</v>
      </c>
      <c r="F10" s="485" t="s">
        <v>583</v>
      </c>
      <c r="G10" s="488"/>
      <c r="H10" s="488"/>
      <c r="I10" s="489"/>
    </row>
    <row r="11" spans="4:10">
      <c r="E11" s="249" t="s">
        <v>582</v>
      </c>
      <c r="F11" s="485" t="s">
        <v>431</v>
      </c>
      <c r="G11" s="488"/>
      <c r="H11" s="488"/>
      <c r="I11" s="489"/>
    </row>
    <row r="12" spans="4:10">
      <c r="E12" s="249" t="s">
        <v>586</v>
      </c>
      <c r="F12" s="485" t="s">
        <v>587</v>
      </c>
      <c r="G12" s="488"/>
      <c r="H12" s="488"/>
      <c r="I12" s="489"/>
    </row>
    <row r="13" spans="4:10">
      <c r="I13" s="248"/>
    </row>
    <row r="14" spans="4:10">
      <c r="I14" s="248"/>
    </row>
    <row r="15" spans="4:10">
      <c r="D15" s="490" t="s">
        <v>404</v>
      </c>
      <c r="E15" s="491"/>
      <c r="F15" s="491"/>
      <c r="G15" s="491"/>
      <c r="H15" s="491"/>
      <c r="I15" s="491"/>
      <c r="J15" s="492"/>
    </row>
    <row r="16" spans="4:10" ht="27.75" customHeight="1">
      <c r="D16" s="493" t="s">
        <v>405</v>
      </c>
      <c r="E16" s="493"/>
      <c r="F16" s="493"/>
      <c r="G16" s="493"/>
      <c r="H16" s="493"/>
      <c r="I16" s="493"/>
      <c r="J16" s="493"/>
    </row>
    <row r="17" spans="4:10" ht="45" customHeight="1">
      <c r="D17" s="494" t="s">
        <v>406</v>
      </c>
      <c r="E17" s="494"/>
      <c r="F17" s="494"/>
      <c r="G17" s="494"/>
      <c r="H17" s="494"/>
      <c r="I17" s="494"/>
      <c r="J17" s="494"/>
    </row>
    <row r="18" spans="4:10">
      <c r="D18" s="250"/>
      <c r="E18" s="250"/>
      <c r="F18" s="250"/>
      <c r="G18" s="250"/>
      <c r="H18" s="250"/>
      <c r="I18" s="251"/>
      <c r="J18" s="250"/>
    </row>
    <row r="19" spans="4:10">
      <c r="I19" s="248"/>
    </row>
    <row r="20" spans="4:10" ht="15.75">
      <c r="D20" s="473" t="s">
        <v>407</v>
      </c>
      <c r="E20" s="474"/>
      <c r="F20" s="474"/>
      <c r="G20" s="474"/>
      <c r="H20" s="474"/>
      <c r="I20" s="474"/>
      <c r="J20" s="475"/>
    </row>
    <row r="21" spans="4:10" ht="18" customHeight="1">
      <c r="D21" s="495" t="s">
        <v>408</v>
      </c>
      <c r="E21" s="496"/>
      <c r="F21" s="496"/>
      <c r="G21" s="496"/>
      <c r="H21" s="496"/>
      <c r="I21" s="496"/>
      <c r="J21" s="497"/>
    </row>
    <row r="22" spans="4:10" ht="16.5" customHeight="1">
      <c r="D22" s="498" t="s">
        <v>409</v>
      </c>
      <c r="E22" s="499"/>
      <c r="F22" s="499"/>
      <c r="G22" s="499"/>
      <c r="H22" s="499"/>
      <c r="I22" s="499"/>
      <c r="J22" s="500"/>
    </row>
    <row r="23" spans="4:10" ht="16.5" customHeight="1">
      <c r="D23" s="459" t="s">
        <v>410</v>
      </c>
      <c r="E23" s="460"/>
      <c r="F23" s="460"/>
      <c r="G23" s="460"/>
      <c r="H23" s="460"/>
      <c r="I23" s="460"/>
      <c r="J23" s="461"/>
    </row>
    <row r="24" spans="4:10" ht="18.75" customHeight="1">
      <c r="D24" s="459" t="s">
        <v>411</v>
      </c>
      <c r="E24" s="460"/>
      <c r="F24" s="460"/>
      <c r="G24" s="460"/>
      <c r="H24" s="460"/>
      <c r="I24" s="460"/>
      <c r="J24" s="461"/>
    </row>
    <row r="25" spans="4:10" ht="28.5" customHeight="1">
      <c r="D25" s="462" t="s">
        <v>412</v>
      </c>
      <c r="E25" s="463"/>
      <c r="F25" s="463"/>
      <c r="G25" s="463"/>
      <c r="H25" s="463"/>
      <c r="I25" s="463"/>
      <c r="J25" s="464"/>
    </row>
    <row r="26" spans="4:10">
      <c r="I26" s="248"/>
    </row>
    <row r="27" spans="4:10">
      <c r="I27" s="248"/>
    </row>
    <row r="28" spans="4:10" ht="15.75">
      <c r="D28" s="479" t="s">
        <v>413</v>
      </c>
      <c r="E28" s="480"/>
      <c r="F28" s="480"/>
      <c r="G28" s="480"/>
      <c r="H28" s="480"/>
      <c r="I28" s="480"/>
      <c r="J28" s="481"/>
    </row>
    <row r="29" spans="4:10">
      <c r="D29" s="252">
        <v>1</v>
      </c>
      <c r="E29" s="471" t="s">
        <v>414</v>
      </c>
      <c r="F29" s="472"/>
      <c r="G29" s="472"/>
      <c r="H29" s="472"/>
      <c r="I29" s="472"/>
      <c r="J29" s="255" t="s">
        <v>415</v>
      </c>
    </row>
    <row r="30" spans="4:10">
      <c r="D30" s="252">
        <v>2</v>
      </c>
      <c r="E30" s="471" t="s">
        <v>432</v>
      </c>
      <c r="F30" s="472"/>
      <c r="G30" s="472"/>
      <c r="H30" s="472"/>
      <c r="I30" s="472"/>
      <c r="J30" s="255" t="s">
        <v>432</v>
      </c>
    </row>
    <row r="31" spans="4:10">
      <c r="D31" s="252">
        <v>3</v>
      </c>
      <c r="E31" s="471" t="s">
        <v>433</v>
      </c>
      <c r="F31" s="472"/>
      <c r="G31" s="472"/>
      <c r="H31" s="472"/>
      <c r="I31" s="472"/>
      <c r="J31" s="255" t="s">
        <v>433</v>
      </c>
    </row>
    <row r="32" spans="4:10">
      <c r="D32" s="252">
        <v>4</v>
      </c>
      <c r="E32" s="471" t="s">
        <v>434</v>
      </c>
      <c r="F32" s="472"/>
      <c r="G32" s="472"/>
      <c r="H32" s="472"/>
      <c r="I32" s="472"/>
      <c r="J32" s="255" t="s">
        <v>434</v>
      </c>
    </row>
    <row r="33" spans="4:10">
      <c r="D33" s="252">
        <v>5</v>
      </c>
      <c r="E33" s="471" t="s">
        <v>848</v>
      </c>
      <c r="F33" s="472"/>
      <c r="G33" s="472"/>
      <c r="H33" s="472"/>
      <c r="I33" s="472"/>
      <c r="J33" s="255" t="s">
        <v>848</v>
      </c>
    </row>
    <row r="34" spans="4:10">
      <c r="D34" s="253"/>
      <c r="E34" s="253"/>
      <c r="F34" s="253"/>
      <c r="G34" s="253"/>
      <c r="H34" s="253"/>
      <c r="I34" s="254"/>
      <c r="J34" s="253"/>
    </row>
    <row r="35" spans="4:10">
      <c r="D35" s="253"/>
      <c r="E35" s="253"/>
      <c r="F35" s="253"/>
      <c r="G35" s="253"/>
      <c r="H35" s="253"/>
      <c r="I35" s="254"/>
      <c r="J35" s="253"/>
    </row>
    <row r="36" spans="4:10" ht="15.75">
      <c r="D36" s="473" t="s">
        <v>580</v>
      </c>
      <c r="E36" s="474"/>
      <c r="F36" s="474"/>
      <c r="G36" s="474"/>
      <c r="H36" s="474"/>
      <c r="I36" s="474"/>
      <c r="J36" s="475"/>
    </row>
    <row r="37" spans="4:10" ht="30" customHeight="1">
      <c r="D37" s="476" t="s">
        <v>581</v>
      </c>
      <c r="E37" s="477"/>
      <c r="F37" s="477"/>
      <c r="G37" s="477"/>
      <c r="H37" s="477"/>
      <c r="I37" s="477"/>
      <c r="J37" s="478"/>
    </row>
    <row r="38" spans="4:10">
      <c r="D38" s="253"/>
      <c r="E38" s="253"/>
      <c r="F38" s="253"/>
      <c r="G38" s="253"/>
      <c r="H38" s="253"/>
      <c r="I38" s="254"/>
      <c r="J38" s="253"/>
    </row>
    <row r="39" spans="4:10">
      <c r="D39" s="253"/>
      <c r="E39" s="253"/>
      <c r="F39" s="253"/>
      <c r="G39" s="253"/>
      <c r="H39" s="253"/>
      <c r="I39" s="254"/>
      <c r="J39" s="253"/>
    </row>
    <row r="40" spans="4:10">
      <c r="I40" s="248"/>
    </row>
    <row r="41" spans="4:10" ht="18" customHeight="1">
      <c r="D41" s="473" t="s">
        <v>584</v>
      </c>
      <c r="E41" s="474"/>
      <c r="F41" s="474"/>
      <c r="G41" s="474"/>
      <c r="H41" s="474"/>
      <c r="I41" s="474"/>
      <c r="J41" s="475"/>
    </row>
    <row r="42" spans="4:10" ht="60" customHeight="1">
      <c r="D42" s="505" t="s">
        <v>435</v>
      </c>
      <c r="E42" s="506"/>
      <c r="F42" s="506"/>
      <c r="G42" s="506"/>
      <c r="H42" s="506"/>
      <c r="I42" s="506"/>
      <c r="J42" s="507"/>
    </row>
    <row r="43" spans="4:10" ht="49.5" customHeight="1">
      <c r="D43" s="508" t="s">
        <v>416</v>
      </c>
      <c r="E43" s="509"/>
      <c r="F43" s="509"/>
      <c r="G43" s="509"/>
      <c r="H43" s="509"/>
      <c r="I43" s="509"/>
      <c r="J43" s="510"/>
    </row>
    <row r="44" spans="4:10" ht="53.25" customHeight="1">
      <c r="D44" s="508" t="s">
        <v>417</v>
      </c>
      <c r="E44" s="509"/>
      <c r="F44" s="509"/>
      <c r="G44" s="509"/>
      <c r="H44" s="509"/>
      <c r="I44" s="509"/>
      <c r="J44" s="510"/>
    </row>
    <row r="45" spans="4:10" ht="30" customHeight="1">
      <c r="D45" s="495" t="s">
        <v>418</v>
      </c>
      <c r="E45" s="511"/>
      <c r="F45" s="511"/>
      <c r="G45" s="511"/>
      <c r="H45" s="511"/>
      <c r="I45" s="511"/>
      <c r="J45" s="512"/>
    </row>
    <row r="46" spans="4:10" ht="56.25" customHeight="1">
      <c r="D46" s="465" t="s">
        <v>419</v>
      </c>
      <c r="E46" s="466"/>
      <c r="F46" s="466"/>
      <c r="G46" s="466"/>
      <c r="H46" s="466"/>
      <c r="I46" s="466"/>
      <c r="J46" s="467"/>
    </row>
    <row r="47" spans="4:10" ht="84.75" customHeight="1">
      <c r="D47" s="465" t="s">
        <v>420</v>
      </c>
      <c r="E47" s="466"/>
      <c r="F47" s="466"/>
      <c r="G47" s="466"/>
      <c r="H47" s="466"/>
      <c r="I47" s="466"/>
      <c r="J47" s="467"/>
    </row>
    <row r="48" spans="4:10" ht="61.5" customHeight="1">
      <c r="D48" s="468" t="s">
        <v>421</v>
      </c>
      <c r="E48" s="469"/>
      <c r="F48" s="469"/>
      <c r="G48" s="469"/>
      <c r="H48" s="469"/>
      <c r="I48" s="469"/>
      <c r="J48" s="470"/>
    </row>
    <row r="49" spans="4:10">
      <c r="I49" s="248"/>
    </row>
    <row r="50" spans="4:10">
      <c r="I50" s="248"/>
    </row>
    <row r="51" spans="4:10" ht="15.75">
      <c r="D51" s="479" t="s">
        <v>585</v>
      </c>
      <c r="E51" s="480"/>
      <c r="F51" s="480"/>
      <c r="G51" s="480"/>
      <c r="H51" s="480"/>
      <c r="I51" s="480"/>
      <c r="J51" s="481"/>
    </row>
    <row r="52" spans="4:10" ht="20.100000000000001" customHeight="1">
      <c r="D52" s="502" t="s">
        <v>422</v>
      </c>
      <c r="E52" s="502"/>
      <c r="F52" s="502"/>
      <c r="G52" s="502"/>
      <c r="H52" s="502"/>
      <c r="I52" s="502"/>
      <c r="J52" s="502"/>
    </row>
    <row r="53" spans="4:10" ht="20.100000000000001" customHeight="1">
      <c r="D53" s="502" t="s">
        <v>423</v>
      </c>
      <c r="E53" s="502"/>
      <c r="F53" s="502"/>
      <c r="G53" s="502"/>
      <c r="H53" s="502"/>
      <c r="I53" s="502"/>
      <c r="J53" s="502"/>
    </row>
    <row r="54" spans="4:10" ht="20.100000000000001" customHeight="1">
      <c r="D54" s="502" t="s">
        <v>424</v>
      </c>
      <c r="E54" s="502"/>
      <c r="F54" s="502"/>
      <c r="G54" s="502"/>
      <c r="H54" s="502"/>
      <c r="I54" s="502"/>
      <c r="J54" s="502"/>
    </row>
    <row r="55" spans="4:10" ht="42" customHeight="1">
      <c r="D55" s="502" t="s">
        <v>425</v>
      </c>
      <c r="E55" s="502"/>
      <c r="F55" s="502"/>
      <c r="G55" s="502"/>
      <c r="H55" s="502"/>
      <c r="I55" s="502"/>
      <c r="J55" s="502"/>
    </row>
    <row r="56" spans="4:10" ht="38.25" customHeight="1">
      <c r="D56" s="502" t="s">
        <v>426</v>
      </c>
      <c r="E56" s="502"/>
      <c r="F56" s="502"/>
      <c r="G56" s="502"/>
      <c r="H56" s="502"/>
      <c r="I56" s="502"/>
      <c r="J56" s="502"/>
    </row>
    <row r="57" spans="4:10" ht="38.25" customHeight="1">
      <c r="D57" s="503" t="s">
        <v>427</v>
      </c>
      <c r="E57" s="502"/>
      <c r="F57" s="502"/>
      <c r="G57" s="502"/>
      <c r="H57" s="502"/>
      <c r="I57" s="502"/>
      <c r="J57" s="502"/>
    </row>
    <row r="58" spans="4:10" ht="38.25" customHeight="1">
      <c r="D58" s="503" t="s">
        <v>428</v>
      </c>
      <c r="E58" s="502"/>
      <c r="F58" s="502"/>
      <c r="G58" s="502"/>
      <c r="H58" s="502"/>
      <c r="I58" s="502"/>
      <c r="J58" s="502"/>
    </row>
    <row r="59" spans="4:10" ht="25.5" customHeight="1">
      <c r="D59" s="504" t="s">
        <v>429</v>
      </c>
      <c r="E59" s="501"/>
      <c r="F59" s="501"/>
      <c r="G59" s="501"/>
      <c r="H59" s="501"/>
      <c r="I59" s="501"/>
      <c r="J59" s="501"/>
    </row>
    <row r="60" spans="4:10" ht="27.75" customHeight="1">
      <c r="D60" s="501" t="s">
        <v>430</v>
      </c>
      <c r="E60" s="501"/>
      <c r="F60" s="501"/>
      <c r="G60" s="501"/>
      <c r="H60" s="501"/>
      <c r="I60" s="501"/>
      <c r="J60" s="501"/>
    </row>
    <row r="61" spans="4:10">
      <c r="I61" s="248"/>
    </row>
    <row r="62" spans="4:10">
      <c r="I62" s="248"/>
    </row>
    <row r="63" spans="4:10">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53:J53"/>
    <mergeCell ref="D41:J41"/>
    <mergeCell ref="D42:J42"/>
    <mergeCell ref="D43:J43"/>
    <mergeCell ref="D44:J44"/>
    <mergeCell ref="D45:J45"/>
    <mergeCell ref="D46:J46"/>
    <mergeCell ref="D51:J51"/>
    <mergeCell ref="D52:J52"/>
    <mergeCell ref="D60:J60"/>
    <mergeCell ref="D54:J54"/>
    <mergeCell ref="D55:J55"/>
    <mergeCell ref="D56:J56"/>
    <mergeCell ref="D57:J57"/>
    <mergeCell ref="D58:J58"/>
    <mergeCell ref="D59:J59"/>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7:J47"/>
    <mergeCell ref="D48:J48"/>
    <mergeCell ref="E31:I31"/>
    <mergeCell ref="E32:I32"/>
    <mergeCell ref="D36:J36"/>
    <mergeCell ref="D37:J37"/>
    <mergeCell ref="D28:J28"/>
    <mergeCell ref="E29:I29"/>
    <mergeCell ref="E30:I30"/>
    <mergeCell ref="E33:I33"/>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E4" sqref="E4"/>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 customHeight="1">
      <c r="S4" s="18" t="s">
        <v>444</v>
      </c>
      <c r="T4" s="18" t="s">
        <v>103</v>
      </c>
      <c r="W4" s="18" t="s">
        <v>445</v>
      </c>
    </row>
    <row r="5" spans="5:24" ht="30" customHeight="1">
      <c r="E5" s="514" t="s">
        <v>90</v>
      </c>
      <c r="F5" s="515"/>
      <c r="S5" s="18" t="s">
        <v>445</v>
      </c>
    </row>
    <row r="6" spans="5:24" ht="20.100000000000001" customHeight="1">
      <c r="E6" s="19" t="s">
        <v>106</v>
      </c>
      <c r="F6" s="276" t="s">
        <v>863</v>
      </c>
    </row>
    <row r="7" spans="5:24" ht="20.100000000000001" customHeight="1">
      <c r="E7" s="19" t="s">
        <v>450</v>
      </c>
      <c r="F7" s="276"/>
      <c r="M7" s="18" t="s">
        <v>356</v>
      </c>
      <c r="X7" s="18" t="s">
        <v>93</v>
      </c>
    </row>
    <row r="8" spans="5:24" ht="20.100000000000001" customHeight="1">
      <c r="E8" s="19" t="s">
        <v>451</v>
      </c>
      <c r="F8" s="351"/>
      <c r="M8" s="18" t="s">
        <v>357</v>
      </c>
      <c r="X8" s="18" t="s">
        <v>104</v>
      </c>
    </row>
    <row r="9" spans="5:24" ht="20.100000000000001" customHeight="1">
      <c r="E9" s="19" t="s">
        <v>452</v>
      </c>
      <c r="F9" s="276" t="s">
        <v>864</v>
      </c>
      <c r="M9" s="18" t="s">
        <v>358</v>
      </c>
    </row>
    <row r="10" spans="5:24" ht="20.100000000000001" customHeight="1">
      <c r="E10" s="19" t="s">
        <v>105</v>
      </c>
      <c r="F10" s="276" t="s">
        <v>865</v>
      </c>
      <c r="M10" s="18" t="s">
        <v>446</v>
      </c>
    </row>
    <row r="11" spans="5:24" ht="20.100000000000001" customHeight="1">
      <c r="E11" s="262" t="s">
        <v>442</v>
      </c>
      <c r="F11" s="205" t="s">
        <v>104</v>
      </c>
    </row>
    <row r="12" spans="5:24" ht="20.100000000000001" customHeight="1">
      <c r="E12" s="19" t="s">
        <v>91</v>
      </c>
      <c r="F12" s="308" t="s">
        <v>94</v>
      </c>
    </row>
    <row r="13" spans="5:24" ht="20.100000000000001" customHeight="1">
      <c r="E13" s="19" t="s">
        <v>222</v>
      </c>
      <c r="F13" s="308" t="s">
        <v>98</v>
      </c>
      <c r="R13" s="240"/>
    </row>
    <row r="14" spans="5:24" ht="27" customHeight="1">
      <c r="E14" s="19" t="s">
        <v>443</v>
      </c>
      <c r="F14" s="276" t="s">
        <v>866</v>
      </c>
      <c r="R14" s="241"/>
    </row>
    <row r="15" spans="5:24" ht="36.75" customHeight="1">
      <c r="E15" s="20" t="s">
        <v>92</v>
      </c>
      <c r="F15" s="439"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13"/>
      <c r="F18" s="513"/>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84dCPUR71xU4O6Ra908ijQ8UHUUKBrpuiJhstO9s6xcHCqTudXFBWo6X+FW9/FqYZlGseGpbwXLK1XNn90W2JA==" saltValue="5kRmOmlCrSNbUigkgtAjRQ=="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8" workbookViewId="0">
      <selection activeCell="H13" sqref="H13"/>
    </sheetView>
  </sheetViews>
  <sheetFormatPr defaultColWidth="0" defaultRowHeight="15"/>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00000000000001" customHeight="1">
      <c r="D9" s="27">
        <v>1</v>
      </c>
      <c r="E9" s="318" t="s">
        <v>108</v>
      </c>
      <c r="F9" s="204" t="s">
        <v>104</v>
      </c>
      <c r="G9" s="440" t="s">
        <v>104</v>
      </c>
      <c r="H9" s="440" t="s">
        <v>104</v>
      </c>
      <c r="I9" s="440" t="s">
        <v>104</v>
      </c>
      <c r="M9" s="18">
        <v>1</v>
      </c>
      <c r="N9" s="18">
        <v>1</v>
      </c>
      <c r="O9" s="18">
        <v>1</v>
      </c>
      <c r="P9" s="18">
        <v>1</v>
      </c>
      <c r="R9" s="18" t="s">
        <v>495</v>
      </c>
      <c r="S9" s="18" t="s">
        <v>496</v>
      </c>
      <c r="T9" s="18" t="s">
        <v>497</v>
      </c>
      <c r="U9" s="18" t="s">
        <v>498</v>
      </c>
    </row>
    <row r="10" spans="1:21" ht="20.100000000000001" customHeight="1">
      <c r="D10" s="28">
        <v>2</v>
      </c>
      <c r="E10" s="319" t="s">
        <v>109</v>
      </c>
      <c r="F10" s="205" t="s">
        <v>93</v>
      </c>
      <c r="G10" s="205" t="s">
        <v>93</v>
      </c>
      <c r="H10" s="205" t="s">
        <v>93</v>
      </c>
      <c r="I10" s="205" t="s">
        <v>104</v>
      </c>
      <c r="M10" s="18">
        <v>0</v>
      </c>
      <c r="N10" s="18">
        <v>0</v>
      </c>
      <c r="O10" s="18">
        <v>0</v>
      </c>
      <c r="P10" s="18">
        <v>1</v>
      </c>
      <c r="R10" s="18" t="s">
        <v>499</v>
      </c>
      <c r="S10" s="18" t="s">
        <v>500</v>
      </c>
      <c r="T10" s="18" t="s">
        <v>501</v>
      </c>
      <c r="U10" s="18" t="s">
        <v>502</v>
      </c>
    </row>
    <row r="11" spans="1:21" ht="20.100000000000001" customHeight="1">
      <c r="D11" s="28">
        <v>3</v>
      </c>
      <c r="E11" s="319" t="s">
        <v>110</v>
      </c>
      <c r="F11" s="205" t="s">
        <v>93</v>
      </c>
      <c r="G11" s="205" t="s">
        <v>93</v>
      </c>
      <c r="H11" s="205" t="s">
        <v>93</v>
      </c>
      <c r="I11" s="205" t="s">
        <v>104</v>
      </c>
      <c r="M11" s="18">
        <v>0</v>
      </c>
      <c r="N11" s="18">
        <v>0</v>
      </c>
      <c r="O11" s="18">
        <v>0</v>
      </c>
      <c r="P11" s="18">
        <v>1</v>
      </c>
      <c r="R11" s="18" t="s">
        <v>503</v>
      </c>
      <c r="S11" s="18" t="s">
        <v>504</v>
      </c>
      <c r="T11" s="18" t="s">
        <v>505</v>
      </c>
      <c r="U11" s="18" t="s">
        <v>506</v>
      </c>
    </row>
    <row r="12" spans="1:21" ht="30">
      <c r="D12" s="28">
        <v>4</v>
      </c>
      <c r="E12" s="319" t="s">
        <v>111</v>
      </c>
      <c r="F12" s="205" t="s">
        <v>104</v>
      </c>
      <c r="G12" s="441" t="s">
        <v>104</v>
      </c>
      <c r="H12" s="441" t="s">
        <v>104</v>
      </c>
      <c r="I12" s="441" t="s">
        <v>104</v>
      </c>
      <c r="M12" s="18">
        <v>1</v>
      </c>
      <c r="N12" s="18">
        <v>1</v>
      </c>
      <c r="O12" s="18">
        <v>1</v>
      </c>
      <c r="P12" s="18">
        <v>1</v>
      </c>
      <c r="R12" s="18" t="s">
        <v>507</v>
      </c>
      <c r="S12" s="18" t="s">
        <v>508</v>
      </c>
      <c r="T12" s="18" t="s">
        <v>509</v>
      </c>
      <c r="U12" s="18" t="s">
        <v>510</v>
      </c>
    </row>
    <row r="13" spans="1:21" ht="21.75" customHeight="1">
      <c r="D13" s="28">
        <v>5</v>
      </c>
      <c r="E13" s="319" t="s">
        <v>112</v>
      </c>
      <c r="F13" s="205" t="s">
        <v>93</v>
      </c>
      <c r="G13" s="205" t="s">
        <v>93</v>
      </c>
      <c r="H13" s="371" t="s">
        <v>104</v>
      </c>
      <c r="I13" s="371" t="s">
        <v>104</v>
      </c>
      <c r="M13" s="18">
        <v>0</v>
      </c>
      <c r="N13" s="18">
        <v>0</v>
      </c>
      <c r="O13" s="18">
        <v>1</v>
      </c>
      <c r="P13" s="18">
        <v>1</v>
      </c>
      <c r="R13" s="18" t="s">
        <v>511</v>
      </c>
      <c r="S13" s="18" t="s">
        <v>512</v>
      </c>
      <c r="T13" s="18" t="s">
        <v>513</v>
      </c>
      <c r="U13" s="18" t="s">
        <v>514</v>
      </c>
    </row>
    <row r="14" spans="1:21" s="102" customFormat="1" ht="20.100000000000001" customHeight="1">
      <c r="A14" s="18"/>
      <c r="B14" s="18"/>
      <c r="C14" s="18"/>
      <c r="D14" s="106">
        <v>6</v>
      </c>
      <c r="E14" s="320" t="s">
        <v>113</v>
      </c>
      <c r="F14" s="312" t="s">
        <v>104</v>
      </c>
      <c r="G14" s="442" t="s">
        <v>104</v>
      </c>
      <c r="H14" s="310"/>
      <c r="I14" s="311"/>
      <c r="M14" s="102">
        <v>1</v>
      </c>
      <c r="N14" s="102">
        <v>1</v>
      </c>
      <c r="O14" s="102">
        <v>0</v>
      </c>
      <c r="P14" s="102">
        <v>0</v>
      </c>
      <c r="R14" s="102" t="s">
        <v>515</v>
      </c>
      <c r="S14" s="102" t="s">
        <v>516</v>
      </c>
      <c r="T14" s="102" t="s">
        <v>517</v>
      </c>
      <c r="U14" s="102" t="s">
        <v>518</v>
      </c>
    </row>
    <row r="15" spans="1:21" s="102" customFormat="1" ht="20.100000000000001" customHeight="1">
      <c r="A15" s="18"/>
      <c r="B15" s="18"/>
      <c r="C15" s="18"/>
      <c r="D15" s="106">
        <v>7</v>
      </c>
      <c r="E15" s="319" t="s">
        <v>381</v>
      </c>
      <c r="F15" s="369" t="s">
        <v>104</v>
      </c>
      <c r="G15" s="443" t="s">
        <v>104</v>
      </c>
      <c r="H15" s="444" t="s">
        <v>104</v>
      </c>
      <c r="I15" s="444" t="s">
        <v>104</v>
      </c>
      <c r="M15" s="102">
        <v>1</v>
      </c>
      <c r="N15" s="102">
        <v>1</v>
      </c>
      <c r="O15" s="102">
        <v>1</v>
      </c>
      <c r="P15" s="102">
        <v>1</v>
      </c>
      <c r="R15" s="102" t="s">
        <v>519</v>
      </c>
      <c r="S15" s="102" t="s">
        <v>520</v>
      </c>
      <c r="T15" s="102" t="s">
        <v>521</v>
      </c>
      <c r="U15" s="102" t="s">
        <v>522</v>
      </c>
    </row>
    <row r="16" spans="1:21" ht="21" customHeight="1">
      <c r="D16" s="29">
        <v>8</v>
      </c>
      <c r="E16" s="321" t="s">
        <v>600</v>
      </c>
      <c r="F16" s="370" t="s">
        <v>93</v>
      </c>
      <c r="G16" s="516"/>
      <c r="H16" s="517"/>
      <c r="I16" s="518"/>
      <c r="R16" s="198" t="s">
        <v>600</v>
      </c>
    </row>
  </sheetData>
  <sheetProtection algorithmName="SHA-512" hashValue="Ott+6EVZWUEOgBFFhHTdKOCbhnkAa5jkahnEMhyQF/zwIA3nLRXQ69p2/TvtKGlJC/o0zuHsfco8qdqGig4GuQ==" saltValue="trOpaLeHOAq4ibcy4nk73g=="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90" zoomScaleNormal="90" workbookViewId="0">
      <selection activeCell="G13" sqref="G13"/>
    </sheetView>
  </sheetViews>
  <sheetFormatPr defaultColWidth="0" defaultRowHeight="15"/>
  <cols>
    <col min="1" max="1" width="2.5703125" hidden="1" customWidth="1"/>
    <col min="2" max="3" width="9.140625" hidden="1" customWidth="1"/>
    <col min="4" max="4" width="9.140625"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8" width="17.140625" customWidth="1"/>
    <col min="29" max="30" width="2.28515625" customWidth="1"/>
    <col min="31" max="16383" width="9.140625" hidden="1"/>
    <col min="16384" max="16384" width="2.285156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25" t="s">
        <v>146</v>
      </c>
      <c r="F8" s="526"/>
      <c r="G8" s="526"/>
      <c r="H8" s="526"/>
      <c r="I8" s="526"/>
      <c r="J8" s="526"/>
      <c r="K8" s="526"/>
      <c r="L8" s="526"/>
      <c r="M8" s="526"/>
      <c r="N8" s="526"/>
      <c r="O8" s="526"/>
      <c r="P8" s="526"/>
      <c r="Q8" s="526"/>
      <c r="R8" s="526"/>
      <c r="S8" s="526"/>
      <c r="T8" s="526"/>
      <c r="U8" s="526"/>
      <c r="V8" s="526"/>
      <c r="W8" s="526"/>
      <c r="X8" s="526"/>
      <c r="Y8" s="526"/>
      <c r="Z8" s="526"/>
      <c r="AA8" s="526"/>
      <c r="AB8" s="527"/>
    </row>
    <row r="9" spans="5:28" ht="22.5" customHeight="1">
      <c r="E9" s="528" t="s">
        <v>374</v>
      </c>
      <c r="F9" s="529"/>
      <c r="G9" s="529"/>
      <c r="H9" s="529"/>
      <c r="I9" s="529"/>
      <c r="J9" s="529"/>
      <c r="K9" s="529"/>
      <c r="L9" s="529"/>
      <c r="M9" s="529"/>
      <c r="N9" s="529"/>
      <c r="O9" s="529"/>
      <c r="P9" s="529"/>
      <c r="Q9" s="529"/>
      <c r="R9" s="529"/>
      <c r="S9" s="529"/>
      <c r="T9" s="529"/>
      <c r="U9" s="529"/>
      <c r="V9" s="529"/>
      <c r="W9" s="529"/>
      <c r="X9" s="529"/>
      <c r="Y9" s="529"/>
      <c r="Z9" s="529"/>
      <c r="AA9" s="529"/>
      <c r="AB9" s="530"/>
    </row>
    <row r="10" spans="5:28" ht="27" customHeight="1">
      <c r="E10" s="523" t="s">
        <v>132</v>
      </c>
      <c r="F10" s="523" t="s">
        <v>133</v>
      </c>
      <c r="G10" s="523" t="s">
        <v>2</v>
      </c>
      <c r="H10" s="523" t="s">
        <v>3</v>
      </c>
      <c r="I10" s="523" t="s">
        <v>4</v>
      </c>
      <c r="J10" s="523" t="s">
        <v>5</v>
      </c>
      <c r="K10" s="523" t="s">
        <v>6</v>
      </c>
      <c r="L10" s="523" t="s">
        <v>7</v>
      </c>
      <c r="M10" s="534" t="s">
        <v>134</v>
      </c>
      <c r="N10" s="535"/>
      <c r="O10" s="535"/>
      <c r="P10" s="536"/>
      <c r="Q10" s="523" t="s">
        <v>9</v>
      </c>
      <c r="R10" s="537" t="s">
        <v>447</v>
      </c>
      <c r="S10" s="523" t="s">
        <v>116</v>
      </c>
      <c r="T10" s="523" t="s">
        <v>11</v>
      </c>
      <c r="U10" s="519" t="s">
        <v>12</v>
      </c>
      <c r="V10" s="520"/>
      <c r="W10" s="519" t="s">
        <v>13</v>
      </c>
      <c r="X10" s="520"/>
      <c r="Y10" s="523" t="s">
        <v>14</v>
      </c>
      <c r="Z10" s="531" t="s">
        <v>708</v>
      </c>
      <c r="AA10" s="532"/>
      <c r="AB10" s="533"/>
    </row>
    <row r="11" spans="5:28" ht="24" customHeight="1">
      <c r="E11" s="524"/>
      <c r="F11" s="524"/>
      <c r="G11" s="524"/>
      <c r="H11" s="524"/>
      <c r="I11" s="524"/>
      <c r="J11" s="524"/>
      <c r="K11" s="524"/>
      <c r="L11" s="524"/>
      <c r="M11" s="531" t="s">
        <v>328</v>
      </c>
      <c r="N11" s="532"/>
      <c r="O11" s="533"/>
      <c r="P11" s="524" t="s">
        <v>135</v>
      </c>
      <c r="Q11" s="524"/>
      <c r="R11" s="537"/>
      <c r="S11" s="524"/>
      <c r="T11" s="524"/>
      <c r="U11" s="521"/>
      <c r="V11" s="522"/>
      <c r="W11" s="521"/>
      <c r="X11" s="522"/>
      <c r="Y11" s="524"/>
      <c r="Z11" s="531" t="s">
        <v>709</v>
      </c>
      <c r="AA11" s="532"/>
      <c r="AB11" s="533"/>
    </row>
    <row r="12" spans="5:28" ht="79.5" customHeight="1">
      <c r="E12" s="524"/>
      <c r="F12" s="524"/>
      <c r="G12" s="524"/>
      <c r="H12" s="524"/>
      <c r="I12" s="524"/>
      <c r="J12" s="524"/>
      <c r="K12" s="524"/>
      <c r="L12" s="524"/>
      <c r="M12" s="65" t="s">
        <v>17</v>
      </c>
      <c r="N12" s="349" t="s">
        <v>18</v>
      </c>
      <c r="O12" s="349" t="s">
        <v>19</v>
      </c>
      <c r="P12" s="524"/>
      <c r="Q12" s="524"/>
      <c r="R12" s="523"/>
      <c r="S12" s="524"/>
      <c r="T12" s="524"/>
      <c r="U12" s="65" t="s">
        <v>20</v>
      </c>
      <c r="V12" s="65" t="s">
        <v>21</v>
      </c>
      <c r="W12" s="65" t="s">
        <v>20</v>
      </c>
      <c r="X12" s="65" t="s">
        <v>21</v>
      </c>
      <c r="Y12" s="524"/>
      <c r="Z12" s="415" t="s">
        <v>710</v>
      </c>
      <c r="AA12" s="415" t="s">
        <v>711</v>
      </c>
      <c r="AB12" s="415" t="s">
        <v>712</v>
      </c>
    </row>
    <row r="13" spans="5:28" ht="20.100000000000001" customHeight="1">
      <c r="E13" s="66" t="s">
        <v>136</v>
      </c>
      <c r="F13" s="56" t="s">
        <v>137</v>
      </c>
      <c r="G13" s="78">
        <f>+IFERROR(IF(COUNT('Shareholding Pattern'!H26),('Shareholding Pattern'!H26),""),"")</f>
        <v>4</v>
      </c>
      <c r="H13" s="78">
        <f>+IFERROR(IF(COUNT('Shareholding Pattern'!I26),('Shareholding Pattern'!I26),""),"")</f>
        <v>68034144</v>
      </c>
      <c r="I13" s="78" t="str">
        <f>+IFERROR(IF(COUNT('Shareholding Pattern'!J26),('Shareholding Pattern'!J26),""),"")</f>
        <v/>
      </c>
      <c r="J13" s="78" t="str">
        <f>+IFERROR(IF(COUNT('Shareholding Pattern'!K26),('Shareholding Pattern'!K26),""),"")</f>
        <v/>
      </c>
      <c r="K13" s="78">
        <f>+IFERROR(IF(COUNT('Shareholding Pattern'!L26),('Shareholding Pattern'!L26),""),"")</f>
        <v>68034144</v>
      </c>
      <c r="L13" s="185">
        <f>+IFERROR(IF(COUNT('Shareholding Pattern'!M26),('Shareholding Pattern'!M26),""),"")</f>
        <v>49.17</v>
      </c>
      <c r="M13" s="79">
        <f>+IFERROR(IF(COUNT('Shareholding Pattern'!N26),('Shareholding Pattern'!N26),""),"")</f>
        <v>68034144</v>
      </c>
      <c r="N13" s="141" t="str">
        <f>+IFERROR(IF(COUNT('Shareholding Pattern'!O26),('Shareholding Pattern'!O26),""),"")</f>
        <v/>
      </c>
      <c r="O13" s="141">
        <f>+IFERROR(IF(COUNT('Shareholding Pattern'!P26),('Shareholding Pattern'!P26),""),"")</f>
        <v>68034144</v>
      </c>
      <c r="P13" s="185">
        <f>+IFERROR(IF(COUNT('Shareholding Pattern'!Q26),('Shareholding Pattern'!Q26),""),"")</f>
        <v>49.17</v>
      </c>
      <c r="Q13" s="78">
        <f>+IFERROR(IF(COUNT('Shareholding Pattern'!R26),('Shareholding Pattern'!R26),""),"")</f>
        <v>945291</v>
      </c>
      <c r="R13" s="78">
        <f>+IFERROR(IF(COUNT('Shareholding Pattern'!S26),('Shareholding Pattern'!S26),""),"")</f>
        <v>945291</v>
      </c>
      <c r="S13" s="78">
        <f>+IFERROR(IF(COUNT('Shareholding Pattern'!T26),('Shareholding Pattern'!T26),""),"")</f>
        <v>1890582</v>
      </c>
      <c r="T13" s="185">
        <f>+IFERROR(IF(COUNT('Shareholding Pattern'!U26),('Shareholding Pattern'!U26),""),"")</f>
        <v>47.22</v>
      </c>
      <c r="U13" s="78">
        <f>+IFERROR(IF(COUNT('Shareholding Pattern'!V26),('Shareholding Pattern'!V26),""),"")</f>
        <v>4090257</v>
      </c>
      <c r="V13" s="185">
        <f>+IFERROR(IF(COUNT('Shareholding Pattern'!W26),('Shareholding Pattern'!W26),""),"")</f>
        <v>6.01</v>
      </c>
      <c r="W13" s="78" t="str">
        <f>+IFERROR(IF(COUNT('Shareholding Pattern'!X26),('Shareholding Pattern'!X26),""),"")</f>
        <v/>
      </c>
      <c r="X13" s="185" t="str">
        <f>+IFERROR(IF(COUNT('Shareholding Pattern'!Y26),('Shareholding Pattern'!Y26),""),"")</f>
        <v/>
      </c>
      <c r="Y13" s="78">
        <f>+IFERROR(IF(COUNT('Shareholding Pattern'!Z26),('Shareholding Pattern'!Z26),""),"")</f>
        <v>68034144</v>
      </c>
      <c r="Z13" s="416"/>
      <c r="AA13" s="417"/>
      <c r="AB13" s="418"/>
    </row>
    <row r="14" spans="5:28" ht="20.100000000000001" customHeight="1">
      <c r="E14" s="66" t="s">
        <v>138</v>
      </c>
      <c r="F14" s="54" t="s">
        <v>139</v>
      </c>
      <c r="G14" s="78">
        <f>+IFERROR(IF(COUNT('Shareholding Pattern'!H71),('Shareholding Pattern'!H71),""),"")</f>
        <v>5537</v>
      </c>
      <c r="H14" s="78">
        <f>+IFERROR(IF(COUNT('Shareholding Pattern'!I71),('Shareholding Pattern'!I71),""),"")</f>
        <v>70325466</v>
      </c>
      <c r="I14" s="78" t="str">
        <f>+IFERROR(IF(COUNT('Shareholding Pattern'!J71),('Shareholding Pattern'!J71),""),"")</f>
        <v/>
      </c>
      <c r="J14" s="78" t="str">
        <f>+IFERROR(IF(COUNT('Shareholding Pattern'!K71),('Shareholding Pattern'!K71),""),"")</f>
        <v/>
      </c>
      <c r="K14" s="78">
        <f>+IFERROR(IF(COUNT('Shareholding Pattern'!L71),('Shareholding Pattern'!L71),""),"")</f>
        <v>70325466</v>
      </c>
      <c r="L14" s="185">
        <f>+IFERROR(IF(COUNT('Shareholding Pattern'!M71),('Shareholding Pattern'!M71),""),"")</f>
        <v>50.83</v>
      </c>
      <c r="M14" s="268">
        <f>+IFERROR(IF(COUNT('Shareholding Pattern'!N71),('Shareholding Pattern'!N71),""),"")</f>
        <v>70325466</v>
      </c>
      <c r="N14" s="141" t="str">
        <f>+IFERROR(IF(COUNT('Shareholding Pattern'!O71),('Shareholding Pattern'!O71),""),"")</f>
        <v/>
      </c>
      <c r="O14" s="141">
        <f>+IFERROR(IF(COUNT('Shareholding Pattern'!P71),('Shareholding Pattern'!P71),""),"")</f>
        <v>70325466</v>
      </c>
      <c r="P14" s="185">
        <f>+IFERROR(IF(COUNT('Shareholding Pattern'!Q71),('Shareholding Pattern'!Q71),""),"")</f>
        <v>50.83</v>
      </c>
      <c r="Q14" s="78">
        <f>+IFERROR(IF(COUNT('Shareholding Pattern'!R71),('Shareholding Pattern'!R71),""),"")</f>
        <v>2665242</v>
      </c>
      <c r="R14" s="78">
        <f>+IFERROR(IF(COUNT('Shareholding Pattern'!S71),('Shareholding Pattern'!S71),""),"")</f>
        <v>5160000</v>
      </c>
      <c r="S14" s="78">
        <f>+IFERROR(IF(COUNT('Shareholding Pattern'!T71),('Shareholding Pattern'!T71),""),"")</f>
        <v>7825242</v>
      </c>
      <c r="T14" s="185">
        <f>+IFERROR(IF(COUNT('Shareholding Pattern'!U71),('Shareholding Pattern'!U71),""),"")</f>
        <v>52.78</v>
      </c>
      <c r="U14" s="78" t="str">
        <f>+IFERROR(IF(COUNT('Shareholding Pattern'!V71),('Shareholding Pattern'!V71),""),"")</f>
        <v/>
      </c>
      <c r="V14" s="185" t="str">
        <f>+IFERROR(IF(COUNT('Shareholding Pattern'!W71),('Shareholding Pattern'!W71),""),"")</f>
        <v/>
      </c>
      <c r="W14" s="299"/>
      <c r="X14" s="300"/>
      <c r="Y14" s="78">
        <f>+IFERROR(IF(COUNT('Shareholding Pattern'!Z71),('Shareholding Pattern'!Z71),""),"")</f>
        <v>70316966</v>
      </c>
      <c r="Z14" s="78">
        <f>+IFERROR(IF(COUNT('Shareholding Pattern'!AA71),('Shareholding Pattern'!AA71),""),"")</f>
        <v>0</v>
      </c>
      <c r="AA14" s="78">
        <f>+IFERROR(IF(COUNT('Shareholding Pattern'!AB71),('Shareholding Pattern'!AB71),""),"")</f>
        <v>0</v>
      </c>
      <c r="AB14" s="78">
        <f>+IFERROR(IF(COUNT('Shareholding Pattern'!AC71),('Shareholding Pattern'!AC71),""),"")</f>
        <v>0</v>
      </c>
    </row>
    <row r="15" spans="5:28" ht="20.100000000000001"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9"/>
      <c r="AA15" s="420"/>
      <c r="AB15" s="421"/>
    </row>
    <row r="16" spans="5:28" ht="20.100000000000001"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2"/>
      <c r="AA16" s="423"/>
      <c r="AB16" s="424"/>
    </row>
    <row r="17" spans="5:28" ht="20.100000000000001"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5"/>
      <c r="AA17" s="426"/>
      <c r="AB17" s="427"/>
    </row>
    <row r="18" spans="5:28" ht="18.75">
      <c r="E18" s="57"/>
      <c r="F18" s="69" t="s">
        <v>19</v>
      </c>
      <c r="G18" s="80">
        <f>+IFERROR(IF(COUNT('Shareholding Pattern'!H79),('Shareholding Pattern'!H79),""),"")</f>
        <v>5541</v>
      </c>
      <c r="H18" s="80">
        <f>+IFERROR(IF(COUNT('Shareholding Pattern'!I79),('Shareholding Pattern'!I79),""),"")</f>
        <v>138359610</v>
      </c>
      <c r="I18" s="80" t="str">
        <f>+IFERROR(IF(COUNT('Shareholding Pattern'!J79),('Shareholding Pattern'!J79),""),"")</f>
        <v/>
      </c>
      <c r="J18" s="80" t="str">
        <f>+IFERROR(IF(COUNT('Shareholding Pattern'!K79),('Shareholding Pattern'!K79),""),"")</f>
        <v/>
      </c>
      <c r="K18" s="80">
        <f>+IFERROR(IF(COUNT('Shareholding Pattern'!L79),('Shareholding Pattern'!L79),""),"")</f>
        <v>138359610</v>
      </c>
      <c r="L18" s="275">
        <f>+IFERROR(IF(COUNT('Shareholding Pattern'!M79),('Shareholding Pattern'!M79),""),"")</f>
        <v>100</v>
      </c>
      <c r="M18" s="267">
        <f>+IFERROR(IF(COUNT('Shareholding Pattern'!N79),('Shareholding Pattern'!N79),""),"")</f>
        <v>138359610</v>
      </c>
      <c r="N18" s="350" t="str">
        <f>+IFERROR(IF(COUNT('Shareholding Pattern'!O79),('Shareholding Pattern'!O79),""),"")</f>
        <v/>
      </c>
      <c r="O18" s="350">
        <f>+IFERROR(IF(COUNT('Shareholding Pattern'!P79),('Shareholding Pattern'!P79),""),"")</f>
        <v>138359610</v>
      </c>
      <c r="P18" s="267">
        <f>+IFERROR(IF(COUNT('Shareholding Pattern'!Q79),('Shareholding Pattern'!Q79),""),"")</f>
        <v>100</v>
      </c>
      <c r="Q18" s="80">
        <f>+IFERROR(IF(COUNT('Shareholding Pattern'!R79),('Shareholding Pattern'!R79),""),"")</f>
        <v>3610533</v>
      </c>
      <c r="R18" s="80">
        <f>+IFERROR(IF(COUNT('Shareholding Pattern'!S79),('Shareholding Pattern'!S79),""),"")</f>
        <v>6105291</v>
      </c>
      <c r="S18" s="80">
        <f>+IFERROR(IF(COUNT('Shareholding Pattern'!T79),('Shareholding Pattern'!T79),""),"")</f>
        <v>9715824</v>
      </c>
      <c r="T18" s="275">
        <f>+IFERROR(IF(COUNT('Shareholding Pattern'!U79),('Shareholding Pattern'!U79),""),"")</f>
        <v>100</v>
      </c>
      <c r="U18" s="80">
        <f>+IFERROR(IF(COUNT('Shareholding Pattern'!V79),('Shareholding Pattern'!V79),""),"")</f>
        <v>4090257</v>
      </c>
      <c r="V18" s="267">
        <f>+IFERROR(IF(COUNT('Shareholding Pattern'!W79),('Shareholding Pattern'!W79),""),"")</f>
        <v>2.96</v>
      </c>
      <c r="W18" s="80" t="str">
        <f>+IFERROR(IF(COUNT('Shareholding Pattern'!X79),('Shareholding Pattern'!X79),""),"")</f>
        <v/>
      </c>
      <c r="X18" s="267" t="str">
        <f>+IFERROR(IF(COUNT('Shareholding Pattern'!Y79),('Shareholding Pattern'!Y79),""),"")</f>
        <v/>
      </c>
      <c r="Y18" s="80">
        <f>+IFERROR(IF(COUNT('Shareholding Pattern'!Z79),('Shareholding Pattern'!Z79),""),"")</f>
        <v>138351110</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J10:J12"/>
    <mergeCell ref="E10:E12"/>
    <mergeCell ref="F10:F12"/>
    <mergeCell ref="G10:G12"/>
    <mergeCell ref="H10:H12"/>
    <mergeCell ref="I10:I1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opLeftCell="C7" zoomScale="90" zoomScaleNormal="90" workbookViewId="0">
      <pane xSplit="3" ySplit="5" topLeftCell="V74" activePane="bottomRight" state="frozen"/>
      <selection activeCell="C7" sqref="C7"/>
      <selection pane="topRight" activeCell="F7" sqref="F7"/>
      <selection pane="bottomLeft" activeCell="C12" sqref="C12"/>
      <selection pane="bottomRight" activeCell="R78" sqref="R78:S78"/>
    </sheetView>
  </sheetViews>
  <sheetFormatPr defaultColWidth="0" defaultRowHeight="15"/>
  <cols>
    <col min="1" max="2" width="2.7109375" hidden="1" customWidth="1"/>
    <col min="3" max="4" width="2.7109375" customWidth="1"/>
    <col min="5" max="5" width="6.5703125" customWidth="1"/>
    <col min="6" max="6" width="46.5703125" customWidth="1"/>
    <col min="7" max="7" width="5.5703125" hidden="1" customWidth="1"/>
    <col min="8" max="10" width="20.7109375" style="143" customWidth="1"/>
    <col min="11" max="12" width="20.7109375" customWidth="1"/>
    <col min="13" max="13" width="20.7109375" style="122" customWidth="1"/>
    <col min="14" max="15" width="20.7109375" style="67" customWidth="1"/>
    <col min="16" max="16" width="20.7109375" style="143" customWidth="1"/>
    <col min="17" max="17" width="20.7109375" style="122" customWidth="1"/>
    <col min="18" max="20" width="20.7109375" style="143" customWidth="1"/>
    <col min="21" max="23" width="20.7109375" style="67" customWidth="1"/>
    <col min="24" max="24" width="20.7109375" style="143" customWidth="1"/>
    <col min="25" max="25" width="20.7109375" style="67" customWidth="1"/>
    <col min="26" max="26" width="20.7109375" style="143" customWidth="1"/>
    <col min="27" max="29" width="20.7109375" customWidth="1"/>
    <col min="30" max="32" width="5.5703125" customWidth="1"/>
    <col min="33" max="16383" width="5.5703125" hidden="1"/>
    <col min="16384" max="16384" width="4.42578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573" t="s">
        <v>115</v>
      </c>
      <c r="F9" s="566" t="s">
        <v>0</v>
      </c>
      <c r="G9" s="567"/>
      <c r="H9" s="565" t="s">
        <v>2</v>
      </c>
      <c r="I9" s="565" t="s">
        <v>3</v>
      </c>
      <c r="J9" s="565" t="s">
        <v>4</v>
      </c>
      <c r="K9" s="564" t="s">
        <v>5</v>
      </c>
      <c r="L9" s="564" t="s">
        <v>6</v>
      </c>
      <c r="M9" s="541" t="s">
        <v>7</v>
      </c>
      <c r="N9" s="538" t="s">
        <v>8</v>
      </c>
      <c r="O9" s="539"/>
      <c r="P9" s="539"/>
      <c r="Q9" s="540"/>
      <c r="R9" s="565" t="s">
        <v>9</v>
      </c>
      <c r="S9" s="583" t="s">
        <v>447</v>
      </c>
      <c r="T9" s="593" t="s">
        <v>116</v>
      </c>
      <c r="U9" s="592" t="s">
        <v>11</v>
      </c>
      <c r="V9" s="564" t="s">
        <v>12</v>
      </c>
      <c r="W9" s="564"/>
      <c r="X9" s="564" t="s">
        <v>13</v>
      </c>
      <c r="Y9" s="564"/>
      <c r="Z9" s="565" t="s">
        <v>14</v>
      </c>
      <c r="AA9" s="600" t="s">
        <v>708</v>
      </c>
      <c r="AB9" s="601"/>
      <c r="AC9" s="602"/>
    </row>
    <row r="10" spans="5:58" ht="28.5" customHeight="1">
      <c r="E10" s="574"/>
      <c r="F10" s="568"/>
      <c r="G10" s="569"/>
      <c r="H10" s="565"/>
      <c r="I10" s="565"/>
      <c r="J10" s="565"/>
      <c r="K10" s="564"/>
      <c r="L10" s="564"/>
      <c r="M10" s="541"/>
      <c r="N10" s="538" t="s">
        <v>15</v>
      </c>
      <c r="O10" s="539"/>
      <c r="P10" s="540"/>
      <c r="Q10" s="541" t="s">
        <v>16</v>
      </c>
      <c r="R10" s="565"/>
      <c r="S10" s="584"/>
      <c r="T10" s="565"/>
      <c r="U10" s="592"/>
      <c r="V10" s="564"/>
      <c r="W10" s="564"/>
      <c r="X10" s="564"/>
      <c r="Y10" s="564"/>
      <c r="Z10" s="565"/>
      <c r="AA10" s="531" t="s">
        <v>709</v>
      </c>
      <c r="AB10" s="532"/>
      <c r="AC10" s="533"/>
    </row>
    <row r="11" spans="5:58" ht="113.25" customHeight="1">
      <c r="E11" s="575"/>
      <c r="F11" s="570"/>
      <c r="G11" s="571"/>
      <c r="H11" s="565"/>
      <c r="I11" s="565"/>
      <c r="J11" s="565"/>
      <c r="K11" s="564"/>
      <c r="L11" s="564"/>
      <c r="M11" s="541"/>
      <c r="N11" s="139" t="s">
        <v>17</v>
      </c>
      <c r="O11" s="139" t="s">
        <v>18</v>
      </c>
      <c r="P11" s="144" t="s">
        <v>19</v>
      </c>
      <c r="Q11" s="541"/>
      <c r="R11" s="565"/>
      <c r="S11" s="585"/>
      <c r="T11" s="565"/>
      <c r="U11" s="592"/>
      <c r="V11" s="139" t="s">
        <v>20</v>
      </c>
      <c r="W11" s="68" t="s">
        <v>21</v>
      </c>
      <c r="X11" s="144" t="s">
        <v>20</v>
      </c>
      <c r="Y11" s="68" t="s">
        <v>21</v>
      </c>
      <c r="Z11" s="565"/>
      <c r="AA11" s="387" t="s">
        <v>710</v>
      </c>
      <c r="AB11" s="387" t="s">
        <v>711</v>
      </c>
      <c r="AC11" s="387" t="s">
        <v>712</v>
      </c>
    </row>
    <row r="12" spans="5:58" ht="18.75" customHeight="1">
      <c r="E12" s="119" t="s">
        <v>22</v>
      </c>
      <c r="F12" s="603" t="s">
        <v>23</v>
      </c>
      <c r="G12" s="604"/>
      <c r="H12" s="604"/>
      <c r="I12" s="604"/>
      <c r="J12" s="604"/>
      <c r="K12" s="604"/>
      <c r="L12" s="604"/>
      <c r="M12" s="604"/>
      <c r="N12" s="604"/>
      <c r="O12" s="604"/>
      <c r="P12" s="604"/>
      <c r="Q12" s="604"/>
      <c r="R12" s="604"/>
      <c r="S12" s="604"/>
      <c r="T12" s="604"/>
      <c r="U12" s="604"/>
      <c r="V12" s="604"/>
      <c r="W12" s="604"/>
      <c r="X12" s="604"/>
      <c r="Y12" s="604"/>
      <c r="Z12" s="604"/>
      <c r="AA12" s="604"/>
      <c r="AB12" s="604"/>
      <c r="AC12" s="605"/>
    </row>
    <row r="13" spans="5:58" ht="20.100000000000001"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3"/>
      <c r="AB13" s="145"/>
      <c r="AC13" s="343"/>
    </row>
    <row r="14" spans="5:58" ht="20.100000000000001" customHeight="1">
      <c r="E14" s="108" t="s">
        <v>26</v>
      </c>
      <c r="F14" s="227" t="s">
        <v>27</v>
      </c>
      <c r="G14" s="225"/>
      <c r="H14" s="187">
        <v>2</v>
      </c>
      <c r="I14" s="334">
        <v>37999116</v>
      </c>
      <c r="J14" s="334" t="str">
        <f>+IF(COUNT(IndHUF!I18),IndHUF!I18,"")</f>
        <v/>
      </c>
      <c r="K14" s="132" t="str">
        <f>+IF(COUNT(IndHUF!J18),IndHUF!J18,"")</f>
        <v/>
      </c>
      <c r="L14" s="132">
        <v>37999116</v>
      </c>
      <c r="M14" s="169">
        <f>+IFERROR(IF(COUNT(L14),ROUND(L14/'Shareholding Pattern'!$L$78*100,2),""),0)</f>
        <v>27.46</v>
      </c>
      <c r="N14" s="186">
        <v>37999116</v>
      </c>
      <c r="O14" s="186" t="str">
        <f>+IF(COUNT(+IndHUF!N18),SUM(+IndHUF!N18),"")</f>
        <v/>
      </c>
      <c r="P14" s="334">
        <v>37999116</v>
      </c>
      <c r="Q14" s="169">
        <f>+IF(COUNT(IndHUF!P18),IndHUF!P18,"")</f>
        <v>27.46</v>
      </c>
      <c r="R14" s="334">
        <f>+IF(COUNT(IndHUF!Q18),IndHUF!Q18,"")</f>
        <v>0</v>
      </c>
      <c r="S14" s="334">
        <f>+IF(COUNT(IndHUF!R18),IndHUF!R18,"")</f>
        <v>0</v>
      </c>
      <c r="T14" s="334">
        <f>+IF(COUNT(IndHUF!S18),IndHUF!S18,"")</f>
        <v>0</v>
      </c>
      <c r="U14" s="133">
        <f>+IFERROR(IF(COUNT(L14,T14),ROUND(SUM(L14,T14)/SUM('Shareholding Pattern'!$L$78,'Shareholding Pattern'!$T$78)*100,2),""),0)</f>
        <v>25.66</v>
      </c>
      <c r="V14" s="207">
        <v>0</v>
      </c>
      <c r="W14" s="182">
        <f>+IFERROR(IF(COUNT(V14),ROUND(SUM(V14)/SUM(L14)*100,2),""),0)</f>
        <v>0</v>
      </c>
      <c r="X14" s="207" t="str">
        <f>+IF(COUNT(IndHUF!W18),IndHUF!W18,"")</f>
        <v/>
      </c>
      <c r="Y14" s="133" t="str">
        <f>+IFERROR(IF(COUNT(X14),ROUND(SUM(X14)/SUM(L14)*100,2),""),0)</f>
        <v/>
      </c>
      <c r="Z14" s="334">
        <v>37999116</v>
      </c>
      <c r="AA14" s="594"/>
      <c r="AB14" s="595"/>
      <c r="AC14" s="596"/>
      <c r="AH14" t="s">
        <v>192</v>
      </c>
      <c r="AR14" t="s">
        <v>166</v>
      </c>
      <c r="AX14" t="s">
        <v>192</v>
      </c>
      <c r="AZ14" t="s">
        <v>329</v>
      </c>
      <c r="BF14" t="s">
        <v>282</v>
      </c>
    </row>
    <row r="15" spans="5:58" ht="20.100000000000001"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58"/>
      <c r="AB15" s="559"/>
      <c r="AC15" s="560"/>
      <c r="AH15" t="s">
        <v>193</v>
      </c>
      <c r="AR15" t="s">
        <v>167</v>
      </c>
      <c r="AX15" t="s">
        <v>193</v>
      </c>
      <c r="AZ15" t="s">
        <v>330</v>
      </c>
      <c r="BF15" t="s">
        <v>284</v>
      </c>
    </row>
    <row r="16" spans="5:58" ht="20.100000000000001"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58"/>
      <c r="AB16" s="559"/>
      <c r="AC16" s="560"/>
      <c r="AH16" t="s">
        <v>285</v>
      </c>
      <c r="AR16" t="s">
        <v>168</v>
      </c>
      <c r="AX16" t="s">
        <v>285</v>
      </c>
      <c r="AZ16" t="s">
        <v>199</v>
      </c>
      <c r="BF16" t="s">
        <v>305</v>
      </c>
    </row>
    <row r="17" spans="5:58" ht="20.100000000000001" customHeight="1">
      <c r="E17" s="112" t="s">
        <v>32</v>
      </c>
      <c r="F17" s="229" t="s">
        <v>33</v>
      </c>
      <c r="H17" s="188">
        <v>2</v>
      </c>
      <c r="I17" s="335">
        <v>30035028</v>
      </c>
      <c r="J17" s="335" t="str">
        <f>IFERROR(IF(COUNT(OtherIND!K19),(OtherIND!K19),""),"")</f>
        <v/>
      </c>
      <c r="K17" s="134" t="str">
        <f>IFERROR(IF(COUNT(OtherIND!L19),(OtherIND!L19),""),"")</f>
        <v/>
      </c>
      <c r="L17" s="134">
        <v>30035028</v>
      </c>
      <c r="M17" s="211">
        <f>+IFERROR(IF(COUNT(L17),ROUND(L17/'Shareholding Pattern'!$L$78*100,2),""),0)</f>
        <v>21.71</v>
      </c>
      <c r="N17" s="269">
        <v>30035028</v>
      </c>
      <c r="O17" s="186" t="str">
        <f>IFERROR(IF(COUNT(OtherIND!P19),(OtherIND!P19),""),"")</f>
        <v/>
      </c>
      <c r="P17" s="335">
        <v>30035028</v>
      </c>
      <c r="Q17" s="211">
        <f>IFERROR(IF(COUNT(OtherIND!R19),(OtherIND!R19),""),0)</f>
        <v>21.71</v>
      </c>
      <c r="R17" s="335">
        <f>IFERROR(IF(COUNT(OtherIND!S19),(OtherIND!S19),""),"")</f>
        <v>945291</v>
      </c>
      <c r="S17" s="335">
        <f>IFERROR(IF(COUNT(OtherIND!T19),(OtherIND!T19),""),"")</f>
        <v>945291</v>
      </c>
      <c r="T17" s="335">
        <f>IFERROR(IF(COUNT(OtherIND!U19),(OtherIND!U19),""),"")</f>
        <v>1890582</v>
      </c>
      <c r="U17" s="135">
        <f>+IFERROR(IF(COUNT(L17,T17),ROUND(SUM(L17,T17)/SUM('Shareholding Pattern'!$L$78,'Shareholding Pattern'!$T$78)*100,2),""),0)</f>
        <v>21.56</v>
      </c>
      <c r="V17" s="207">
        <v>4090257</v>
      </c>
      <c r="W17" s="219">
        <f t="shared" si="0"/>
        <v>13.62</v>
      </c>
      <c r="X17" s="207" t="str">
        <f>IFERROR(IF(COUNT(OtherIND!Y19),(OtherIND!Y19),""),"")</f>
        <v/>
      </c>
      <c r="Y17" s="135" t="str">
        <f t="shared" si="1"/>
        <v/>
      </c>
      <c r="Z17" s="335">
        <v>30035028</v>
      </c>
      <c r="AA17" s="558"/>
      <c r="AB17" s="559"/>
      <c r="AC17" s="560"/>
      <c r="AH17" t="s">
        <v>286</v>
      </c>
      <c r="AR17" t="s">
        <v>169</v>
      </c>
      <c r="AX17" t="s">
        <v>286</v>
      </c>
      <c r="AZ17" t="s">
        <v>332</v>
      </c>
      <c r="BF17" t="s">
        <v>315</v>
      </c>
    </row>
    <row r="18" spans="5:58" ht="20.100000000000001" customHeight="1">
      <c r="E18" s="547" t="s">
        <v>35</v>
      </c>
      <c r="F18" s="547"/>
      <c r="G18" s="547"/>
      <c r="H18" s="64">
        <f>+IFERROR(IF(COUNT(H14:H17),ROUND(SUM(H14:H17),0),""),"")</f>
        <v>4</v>
      </c>
      <c r="I18" s="64">
        <f t="shared" ref="I18:Z18" si="2">+IFERROR(IF(COUNT(I14:I17),ROUND(SUM(I14:I17),0),""),"")</f>
        <v>68034144</v>
      </c>
      <c r="J18" s="64" t="str">
        <f t="shared" si="2"/>
        <v/>
      </c>
      <c r="K18" s="4" t="str">
        <f t="shared" si="2"/>
        <v/>
      </c>
      <c r="L18" s="64">
        <f t="shared" si="2"/>
        <v>68034144</v>
      </c>
      <c r="M18" s="171">
        <f>+IFERROR(IF(COUNT(L18),ROUND(L18/'Shareholding Pattern'!$L$78*100,2),""),0)</f>
        <v>49.17</v>
      </c>
      <c r="N18" s="141">
        <f t="shared" si="2"/>
        <v>68034144</v>
      </c>
      <c r="O18" s="141" t="str">
        <f t="shared" si="2"/>
        <v/>
      </c>
      <c r="P18" s="64">
        <f t="shared" si="2"/>
        <v>68034144</v>
      </c>
      <c r="Q18" s="179">
        <f>IFERROR(IF(COUNT(P18),ROUND(P18/$P$79*100,2),""),0)</f>
        <v>49.17</v>
      </c>
      <c r="R18" s="64">
        <f t="shared" si="2"/>
        <v>945291</v>
      </c>
      <c r="S18" s="64">
        <f t="shared" si="2"/>
        <v>945291</v>
      </c>
      <c r="T18" s="64">
        <f t="shared" si="2"/>
        <v>1890582</v>
      </c>
      <c r="U18" s="136">
        <f>+IFERROR(IF(COUNT(L18,T18),ROUND(SUM(L18,T18)/SUM('Shareholding Pattern'!$L$78,'Shareholding Pattern'!$T$78)*100,2),""),0)</f>
        <v>47.22</v>
      </c>
      <c r="V18" s="64">
        <f t="shared" si="2"/>
        <v>4090257</v>
      </c>
      <c r="W18" s="183">
        <f>+IFERROR(IF(COUNT(V18),ROUND(SUM(V18)/SUM(L18)*100,2),""),0)</f>
        <v>6.01</v>
      </c>
      <c r="X18" s="64" t="str">
        <f t="shared" si="2"/>
        <v/>
      </c>
      <c r="Y18" s="137" t="str">
        <f>+IFERROR(IF(COUNT(X18),ROUND(SUM(X18)/SUM(L18)*100,2),""),0)</f>
        <v/>
      </c>
      <c r="Z18" s="64">
        <f t="shared" si="2"/>
        <v>68034144</v>
      </c>
      <c r="AA18" s="561"/>
      <c r="AB18" s="562"/>
      <c r="AC18" s="563"/>
      <c r="AR18" t="s">
        <v>170</v>
      </c>
      <c r="AX18" t="s">
        <v>287</v>
      </c>
      <c r="AZ18" t="s">
        <v>200</v>
      </c>
      <c r="BF18" t="s">
        <v>306</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61"/>
      <c r="AB19" s="562"/>
      <c r="AC19" s="563"/>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58"/>
      <c r="AB20" s="559"/>
      <c r="AC20" s="560"/>
      <c r="AH20" t="s">
        <v>287</v>
      </c>
      <c r="AR20" t="s">
        <v>171</v>
      </c>
      <c r="AX20" t="s">
        <v>40</v>
      </c>
      <c r="AZ20" t="s">
        <v>203</v>
      </c>
      <c r="BF20" t="s">
        <v>317</v>
      </c>
    </row>
    <row r="21" spans="5:58" ht="20.100000000000001"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58"/>
      <c r="AB21" s="559"/>
      <c r="AC21" s="560"/>
      <c r="AH21" t="s">
        <v>39</v>
      </c>
      <c r="AR21" t="s">
        <v>172</v>
      </c>
      <c r="AX21" t="s">
        <v>288</v>
      </c>
      <c r="AZ21" t="s">
        <v>202</v>
      </c>
      <c r="BF21" t="s">
        <v>308</v>
      </c>
    </row>
    <row r="22" spans="5:58" ht="20.100000000000001"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58"/>
      <c r="AB22" s="559"/>
      <c r="AC22" s="560"/>
      <c r="AH22" t="s">
        <v>40</v>
      </c>
      <c r="AR22" t="s">
        <v>174</v>
      </c>
      <c r="AX22" t="s">
        <v>289</v>
      </c>
      <c r="AZ22" t="s">
        <v>204</v>
      </c>
      <c r="BF22" t="s">
        <v>318</v>
      </c>
    </row>
    <row r="23" spans="5:58" ht="20.100000000000001"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58"/>
      <c r="AB23" s="559"/>
      <c r="AC23" s="560"/>
      <c r="AH23" t="s">
        <v>288</v>
      </c>
      <c r="AR23" t="s">
        <v>173</v>
      </c>
    </row>
    <row r="24" spans="5:58" ht="20.100000000000001"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58"/>
      <c r="AB24" s="559"/>
      <c r="AC24" s="560"/>
      <c r="AH24" t="s">
        <v>289</v>
      </c>
      <c r="AR24" t="s">
        <v>175</v>
      </c>
    </row>
    <row r="25" spans="5:58" ht="20.100000000000001" customHeight="1">
      <c r="E25" s="547" t="s">
        <v>43</v>
      </c>
      <c r="F25" s="547"/>
      <c r="G25" s="547"/>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61"/>
      <c r="AB25" s="562"/>
      <c r="AC25" s="563"/>
      <c r="AR25" t="s">
        <v>176</v>
      </c>
    </row>
    <row r="26" spans="5:58" ht="36.75" customHeight="1">
      <c r="E26" s="548" t="s">
        <v>88</v>
      </c>
      <c r="F26" s="548"/>
      <c r="G26" s="548"/>
      <c r="H26" s="158">
        <f t="shared" ref="H26:Z26" si="6">+IFERROR(IF(COUNT(H18,H25),ROUND(SUM(H18,H25),0),""),"")</f>
        <v>4</v>
      </c>
      <c r="I26" s="158">
        <f t="shared" si="6"/>
        <v>68034144</v>
      </c>
      <c r="J26" s="158" t="str">
        <f t="shared" si="6"/>
        <v/>
      </c>
      <c r="K26" s="156" t="str">
        <f t="shared" si="6"/>
        <v/>
      </c>
      <c r="L26" s="158">
        <f t="shared" si="6"/>
        <v>68034144</v>
      </c>
      <c r="M26" s="171">
        <f>+IFERROR(IF(COUNT(L26),ROUND(L26/'Shareholding Pattern'!$L$78*100,2),""),0)</f>
        <v>49.17</v>
      </c>
      <c r="N26" s="157">
        <f t="shared" si="6"/>
        <v>68034144</v>
      </c>
      <c r="O26" s="157" t="str">
        <f t="shared" si="6"/>
        <v/>
      </c>
      <c r="P26" s="158">
        <f t="shared" si="6"/>
        <v>68034144</v>
      </c>
      <c r="Q26" s="179">
        <f>IFERROR(IF(COUNT(P26),ROUND(P26/$P$79*100,2),""),0)</f>
        <v>49.17</v>
      </c>
      <c r="R26" s="336">
        <f t="shared" si="6"/>
        <v>945291</v>
      </c>
      <c r="S26" s="336">
        <f t="shared" si="6"/>
        <v>945291</v>
      </c>
      <c r="T26" s="158">
        <f t="shared" si="6"/>
        <v>1890582</v>
      </c>
      <c r="U26" s="136">
        <f>+IFERROR(IF(COUNT(L26,T26),ROUND(SUM(L26,T26)/SUM('Shareholding Pattern'!$L$78,'Shareholding Pattern'!$T$78)*100,2),""),0)</f>
        <v>47.22</v>
      </c>
      <c r="V26" s="158">
        <f t="shared" si="6"/>
        <v>4090257</v>
      </c>
      <c r="W26" s="183">
        <f>+IFERROR(IF(COUNT(V26),ROUND(SUM(V26)/SUM(L26)*100,2),""),0)</f>
        <v>6.01</v>
      </c>
      <c r="X26" s="158" t="str">
        <f t="shared" si="6"/>
        <v/>
      </c>
      <c r="Y26" s="137" t="str">
        <f t="shared" si="4"/>
        <v/>
      </c>
      <c r="Z26" s="158">
        <f t="shared" si="6"/>
        <v>68034144</v>
      </c>
      <c r="AA26" s="597"/>
      <c r="AB26" s="598"/>
      <c r="AC26" s="599"/>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4"/>
      <c r="AA28" s="404"/>
      <c r="AB28" s="404"/>
      <c r="AC28" s="345"/>
    </row>
    <row r="29" spans="5:58" ht="20.100000000000001" customHeight="1">
      <c r="E29" s="107" t="s">
        <v>24</v>
      </c>
      <c r="F29" s="606" t="s">
        <v>655</v>
      </c>
      <c r="G29" s="607"/>
      <c r="H29" s="607"/>
      <c r="I29" s="607"/>
      <c r="J29" s="607"/>
      <c r="K29" s="607"/>
      <c r="L29" s="607"/>
      <c r="M29" s="607"/>
      <c r="N29" s="607"/>
      <c r="O29" s="607"/>
      <c r="P29" s="607"/>
      <c r="Q29" s="607"/>
      <c r="R29" s="607"/>
      <c r="S29" s="607"/>
      <c r="T29" s="607"/>
      <c r="U29" s="607"/>
      <c r="V29" s="607"/>
      <c r="W29" s="607"/>
      <c r="X29" s="607"/>
      <c r="Y29" s="607"/>
      <c r="Z29" s="607"/>
      <c r="AA29" s="607"/>
      <c r="AB29" s="607"/>
      <c r="AC29" s="608"/>
    </row>
    <row r="30" spans="5:58" ht="20.100000000000001"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77"/>
      <c r="Y30" s="578"/>
      <c r="Z30" s="277"/>
      <c r="AA30" s="277"/>
      <c r="AB30" s="277"/>
      <c r="AC30" s="277"/>
      <c r="AH30" t="s">
        <v>290</v>
      </c>
      <c r="AR30" t="s">
        <v>271</v>
      </c>
      <c r="AX30" t="s">
        <v>290</v>
      </c>
      <c r="AZ30" t="s">
        <v>205</v>
      </c>
      <c r="BF30" t="s">
        <v>319</v>
      </c>
    </row>
    <row r="31" spans="5:58" ht="20.100000000000001"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79"/>
      <c r="Y31" s="580"/>
      <c r="Z31" s="277"/>
      <c r="AA31" s="277"/>
      <c r="AB31" s="277"/>
      <c r="AC31" s="277"/>
      <c r="AH31" t="s">
        <v>291</v>
      </c>
      <c r="AR31" t="s">
        <v>178</v>
      </c>
      <c r="AX31" t="s">
        <v>291</v>
      </c>
      <c r="AZ31" t="s">
        <v>206</v>
      </c>
      <c r="BF31" t="s">
        <v>309</v>
      </c>
    </row>
    <row r="32" spans="5:58" ht="20.100000000000001"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79"/>
      <c r="Y32" s="580"/>
      <c r="Z32" s="277"/>
      <c r="AA32" s="277"/>
      <c r="AB32" s="277"/>
      <c r="AC32" s="277"/>
      <c r="AH32" t="s">
        <v>799</v>
      </c>
      <c r="AR32" t="s">
        <v>179</v>
      </c>
      <c r="AX32" t="s">
        <v>799</v>
      </c>
      <c r="AZ32" t="s">
        <v>207</v>
      </c>
      <c r="BF32" t="s">
        <v>310</v>
      </c>
    </row>
    <row r="33" spans="5:58" ht="20.100000000000001"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79"/>
      <c r="Y33" s="580"/>
      <c r="Z33" s="277"/>
      <c r="AA33" s="277"/>
      <c r="AB33" s="277"/>
      <c r="AC33" s="277"/>
      <c r="AH33" t="s">
        <v>294</v>
      </c>
      <c r="AR33" t="s">
        <v>719</v>
      </c>
      <c r="AX33" t="s">
        <v>294</v>
      </c>
      <c r="AZ33" t="s">
        <v>745</v>
      </c>
      <c r="BF33" t="s">
        <v>744</v>
      </c>
    </row>
    <row r="34" spans="5:58" ht="20.100000000000001"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79"/>
      <c r="Y34" s="580"/>
      <c r="Z34" s="277"/>
      <c r="AA34" s="277"/>
      <c r="AB34" s="277"/>
      <c r="AC34" s="277"/>
      <c r="AH34" t="s">
        <v>295</v>
      </c>
      <c r="AR34" t="s">
        <v>181</v>
      </c>
      <c r="AX34" t="s">
        <v>295</v>
      </c>
      <c r="AZ34" t="s">
        <v>209</v>
      </c>
      <c r="BF34" t="s">
        <v>312</v>
      </c>
    </row>
    <row r="35" spans="5:58" ht="20.100000000000001"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79"/>
      <c r="Y35" s="580"/>
      <c r="Z35" s="277"/>
      <c r="AA35" s="277"/>
      <c r="AB35" s="277"/>
      <c r="AC35" s="277"/>
      <c r="AH35" t="s">
        <v>296</v>
      </c>
      <c r="AR35" t="s">
        <v>182</v>
      </c>
      <c r="AX35" t="s">
        <v>296</v>
      </c>
      <c r="AZ35" t="s">
        <v>210</v>
      </c>
      <c r="BF35" t="s">
        <v>313</v>
      </c>
    </row>
    <row r="36" spans="5:58" ht="20.100000000000001" customHeight="1">
      <c r="E36" s="109" t="s">
        <v>51</v>
      </c>
      <c r="F36" s="382"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79"/>
      <c r="Y36" s="580"/>
      <c r="Z36" s="277"/>
      <c r="AA36" s="277"/>
      <c r="AB36" s="277"/>
      <c r="AC36" s="277"/>
      <c r="AH36" t="s">
        <v>826</v>
      </c>
      <c r="AR36" t="s">
        <v>720</v>
      </c>
      <c r="AX36" t="s">
        <v>826</v>
      </c>
      <c r="AZ36" t="s">
        <v>747</v>
      </c>
      <c r="BF36" t="s">
        <v>746</v>
      </c>
    </row>
    <row r="37" spans="5:58" ht="20.100000000000001" customHeight="1">
      <c r="E37" s="109" t="s">
        <v>53</v>
      </c>
      <c r="F37" s="388"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79"/>
      <c r="Y37" s="580"/>
      <c r="Z37" s="277"/>
      <c r="AA37" s="277"/>
      <c r="AB37" s="277"/>
      <c r="AC37" s="277"/>
      <c r="AH37" t="s">
        <v>827</v>
      </c>
      <c r="AR37" t="s">
        <v>721</v>
      </c>
      <c r="AX37" t="s">
        <v>827</v>
      </c>
      <c r="AZ37" t="s">
        <v>749</v>
      </c>
      <c r="BF37" t="s">
        <v>748</v>
      </c>
    </row>
    <row r="38" spans="5:58" ht="20.100000000000001" customHeight="1">
      <c r="E38" s="377"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79"/>
      <c r="Y38" s="580"/>
      <c r="Z38" s="277"/>
      <c r="AA38" s="277"/>
      <c r="AB38" s="277"/>
      <c r="AC38" s="277"/>
      <c r="AH38" t="s">
        <v>197</v>
      </c>
      <c r="AR38" t="s">
        <v>183</v>
      </c>
      <c r="AX38" t="s">
        <v>197</v>
      </c>
      <c r="AZ38" t="s">
        <v>331</v>
      </c>
      <c r="BF38" t="s">
        <v>314</v>
      </c>
    </row>
    <row r="39" spans="5:58" ht="20.100000000000001" customHeight="1">
      <c r="E39" s="109" t="s">
        <v>670</v>
      </c>
      <c r="F39" s="389"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79"/>
      <c r="Y39" s="580"/>
      <c r="Z39" s="277"/>
      <c r="AA39" s="277"/>
      <c r="AB39" s="277"/>
      <c r="AC39" s="277"/>
      <c r="AH39" t="s">
        <v>654</v>
      </c>
      <c r="AR39" t="s">
        <v>722</v>
      </c>
      <c r="AX39" t="s">
        <v>654</v>
      </c>
      <c r="AZ39" t="s">
        <v>752</v>
      </c>
      <c r="BF39" t="s">
        <v>750</v>
      </c>
    </row>
    <row r="40" spans="5:58" ht="20.100000000000001"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79"/>
      <c r="Y40" s="580"/>
      <c r="Z40" s="277"/>
      <c r="AA40" s="277"/>
      <c r="AB40" s="277"/>
      <c r="AC40" s="277"/>
      <c r="AH40" t="s">
        <v>297</v>
      </c>
      <c r="AR40" t="s">
        <v>723</v>
      </c>
      <c r="AX40" t="s">
        <v>297</v>
      </c>
      <c r="AZ40" t="s">
        <v>753</v>
      </c>
      <c r="BF40" t="s">
        <v>751</v>
      </c>
    </row>
    <row r="41" spans="5:58" ht="20.100000000000001" customHeight="1">
      <c r="E41" s="547" t="s">
        <v>56</v>
      </c>
      <c r="F41" s="547"/>
      <c r="G41" s="547"/>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81"/>
      <c r="Y41" s="582"/>
      <c r="Z41" s="64" t="str">
        <f>+IFERROR(IF(COUNT(Z30:Z40),ROUND(SUM(Z30:Z40),0),""),"")</f>
        <v/>
      </c>
      <c r="AA41" s="64" t="str">
        <f t="shared" ref="AA41:AC41" si="12">+IFERROR(IF(COUNT(AA30:AA40),ROUND(SUM(AA30:AA40),0),""),"")</f>
        <v/>
      </c>
      <c r="AB41" s="64" t="str">
        <f t="shared" si="12"/>
        <v/>
      </c>
      <c r="AC41" s="64" t="str">
        <f t="shared" si="12"/>
        <v/>
      </c>
      <c r="AR41" t="s">
        <v>805</v>
      </c>
    </row>
    <row r="42" spans="5:58" ht="20.100000000000001" customHeight="1">
      <c r="E42" s="107" t="s">
        <v>36</v>
      </c>
      <c r="F42" s="550" t="s">
        <v>656</v>
      </c>
      <c r="G42" s="551"/>
      <c r="H42" s="551"/>
      <c r="I42" s="551"/>
      <c r="J42" s="551"/>
      <c r="K42" s="551"/>
      <c r="L42" s="551"/>
      <c r="M42" s="551"/>
      <c r="N42" s="551"/>
      <c r="O42" s="551"/>
      <c r="P42" s="551"/>
      <c r="Q42" s="551"/>
      <c r="R42" s="551"/>
      <c r="S42" s="551"/>
      <c r="T42" s="551"/>
      <c r="U42" s="551"/>
      <c r="V42" s="551"/>
      <c r="W42" s="551"/>
      <c r="X42" s="551"/>
      <c r="Y42" s="551"/>
      <c r="Z42" s="551"/>
      <c r="AA42" s="551"/>
      <c r="AB42" s="551"/>
      <c r="AC42" s="552"/>
    </row>
    <row r="43" spans="5:58" ht="20.100000000000001" customHeight="1">
      <c r="E43" s="109" t="s">
        <v>26</v>
      </c>
      <c r="F43" s="390"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77"/>
      <c r="Y43" s="578"/>
      <c r="Z43" s="277"/>
      <c r="AA43" s="277"/>
      <c r="AB43" s="277"/>
      <c r="AC43" s="277"/>
      <c r="AH43" t="s">
        <v>657</v>
      </c>
      <c r="AR43" t="s">
        <v>724</v>
      </c>
      <c r="AX43" t="s">
        <v>657</v>
      </c>
      <c r="AZ43" t="s">
        <v>755</v>
      </c>
      <c r="BF43" t="s">
        <v>754</v>
      </c>
    </row>
    <row r="44" spans="5:58" ht="20.100000000000001"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79"/>
      <c r="Y44" s="580"/>
      <c r="Z44" s="277"/>
      <c r="AA44" s="277"/>
      <c r="AB44" s="277"/>
      <c r="AC44" s="277"/>
      <c r="AH44" t="s">
        <v>292</v>
      </c>
      <c r="AR44" t="s">
        <v>180</v>
      </c>
      <c r="AX44" t="s">
        <v>292</v>
      </c>
      <c r="AZ44" t="s">
        <v>208</v>
      </c>
      <c r="BF44" t="s">
        <v>311</v>
      </c>
    </row>
    <row r="45" spans="5:58" ht="20.100000000000001" customHeight="1">
      <c r="E45" s="109" t="s">
        <v>30</v>
      </c>
      <c r="F45" s="391"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79"/>
      <c r="Y45" s="580"/>
      <c r="Z45" s="277"/>
      <c r="AA45" s="277"/>
      <c r="AB45" s="277"/>
      <c r="AC45" s="277"/>
      <c r="AH45" t="s">
        <v>691</v>
      </c>
      <c r="AR45" t="s">
        <v>725</v>
      </c>
      <c r="AX45" t="s">
        <v>691</v>
      </c>
      <c r="AZ45" t="s">
        <v>757</v>
      </c>
      <c r="BF45" t="s">
        <v>756</v>
      </c>
    </row>
    <row r="46" spans="5:58" ht="20.100000000000001" customHeight="1">
      <c r="E46" s="109" t="s">
        <v>32</v>
      </c>
      <c r="F46" s="233" t="s">
        <v>648</v>
      </c>
      <c r="H46" s="277">
        <v>4</v>
      </c>
      <c r="I46" s="277">
        <v>591947</v>
      </c>
      <c r="J46" s="277"/>
      <c r="K46" s="131"/>
      <c r="L46" s="188">
        <v>591947</v>
      </c>
      <c r="M46" s="213">
        <f>+IFERROR(IF(COUNT(L46),ROUND(L46/'Shareholding Pattern'!$L$78*100,2),""),"")</f>
        <v>0.43</v>
      </c>
      <c r="N46" s="305">
        <v>591947</v>
      </c>
      <c r="O46" s="131"/>
      <c r="P46" s="188">
        <v>591947</v>
      </c>
      <c r="Q46" s="178">
        <f>+IFERROR(IF(COUNT(P46),ROUND(P46/'Shareholding Pattern'!$P$79*100,2),""),"")</f>
        <v>0.43</v>
      </c>
      <c r="R46" s="277">
        <v>0</v>
      </c>
      <c r="S46" s="277">
        <v>0</v>
      </c>
      <c r="T46" s="188">
        <f t="shared" si="13"/>
        <v>0</v>
      </c>
      <c r="U46" s="214">
        <f>+IFERROR(IF(COUNT(L46,T46),ROUND(SUM(L46,T46)/SUM('Shareholding Pattern'!$L$78,'Shareholding Pattern'!$T$78)*100,2),""),"")</f>
        <v>0.4</v>
      </c>
      <c r="V46" s="131"/>
      <c r="W46" s="182" t="str">
        <f t="shared" si="7"/>
        <v/>
      </c>
      <c r="X46" s="579"/>
      <c r="Y46" s="580"/>
      <c r="Z46" s="277">
        <v>591947</v>
      </c>
      <c r="AA46" s="277">
        <v>0</v>
      </c>
      <c r="AB46" s="277">
        <v>0</v>
      </c>
      <c r="AC46" s="277">
        <v>0</v>
      </c>
      <c r="AH46" t="s">
        <v>293</v>
      </c>
      <c r="AR46" t="s">
        <v>726</v>
      </c>
      <c r="AX46" t="s">
        <v>293</v>
      </c>
      <c r="AZ46" t="s">
        <v>759</v>
      </c>
      <c r="BF46" t="s">
        <v>758</v>
      </c>
    </row>
    <row r="47" spans="5:58" ht="20.100000000000001" customHeight="1">
      <c r="E47" s="109" t="s">
        <v>42</v>
      </c>
      <c r="F47" s="392" t="s">
        <v>658</v>
      </c>
      <c r="H47" s="277">
        <v>1</v>
      </c>
      <c r="I47" s="277">
        <v>45000</v>
      </c>
      <c r="J47" s="277"/>
      <c r="K47" s="131"/>
      <c r="L47" s="188">
        <v>45000</v>
      </c>
      <c r="M47" s="213">
        <f>+IFERROR(IF(COUNT(L47),ROUND(L47/'Shareholding Pattern'!$L$78*100,2),""),"")</f>
        <v>0.03</v>
      </c>
      <c r="N47" s="305">
        <v>45000</v>
      </c>
      <c r="O47" s="131"/>
      <c r="P47" s="188">
        <v>45000</v>
      </c>
      <c r="Q47" s="178">
        <f>+IFERROR(IF(COUNT(P47),ROUND(P47/'Shareholding Pattern'!$P$79*100,2),""),"")</f>
        <v>0.03</v>
      </c>
      <c r="R47" s="277">
        <v>0</v>
      </c>
      <c r="S47" s="277">
        <v>0</v>
      </c>
      <c r="T47" s="188">
        <f t="shared" si="13"/>
        <v>0</v>
      </c>
      <c r="U47" s="214">
        <f>+IFERROR(IF(COUNT(L47,T47),ROUND(SUM(L47,T47)/SUM('Shareholding Pattern'!$L$78,'Shareholding Pattern'!$T$78)*100,2),""),"")</f>
        <v>0.03</v>
      </c>
      <c r="V47" s="131"/>
      <c r="W47" s="182" t="str">
        <f t="shared" si="7"/>
        <v/>
      </c>
      <c r="X47" s="579"/>
      <c r="Y47" s="580"/>
      <c r="Z47" s="277">
        <v>45000</v>
      </c>
      <c r="AA47" s="277">
        <v>0</v>
      </c>
      <c r="AB47" s="277">
        <v>0</v>
      </c>
      <c r="AC47" s="277">
        <v>0</v>
      </c>
      <c r="AH47" t="s">
        <v>694</v>
      </c>
      <c r="AR47" t="s">
        <v>727</v>
      </c>
      <c r="AX47" t="s">
        <v>694</v>
      </c>
      <c r="AZ47" t="s">
        <v>761</v>
      </c>
      <c r="BF47" t="s">
        <v>760</v>
      </c>
    </row>
    <row r="48" spans="5:58" ht="30">
      <c r="E48" s="378"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79"/>
      <c r="Y48" s="580"/>
      <c r="Z48" s="277"/>
      <c r="AA48" s="277"/>
      <c r="AB48" s="277"/>
      <c r="AC48" s="277"/>
      <c r="AH48" t="s">
        <v>798</v>
      </c>
      <c r="AR48" t="s">
        <v>184</v>
      </c>
      <c r="AX48" t="s">
        <v>798</v>
      </c>
      <c r="AZ48" t="s">
        <v>763</v>
      </c>
      <c r="BF48" t="s">
        <v>762</v>
      </c>
    </row>
    <row r="49" spans="5:58" ht="20.100000000000001" customHeight="1">
      <c r="E49" s="115" t="s">
        <v>51</v>
      </c>
      <c r="F49" s="393"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79"/>
      <c r="Y49" s="580"/>
      <c r="Z49" s="277"/>
      <c r="AA49" s="277"/>
      <c r="AB49" s="277"/>
      <c r="AC49" s="277"/>
      <c r="AH49" t="s">
        <v>828</v>
      </c>
      <c r="AR49" t="s">
        <v>728</v>
      </c>
      <c r="AX49" t="s">
        <v>828</v>
      </c>
      <c r="AZ49" t="s">
        <v>765</v>
      </c>
      <c r="BF49" t="s">
        <v>764</v>
      </c>
    </row>
    <row r="50" spans="5:58" ht="20.100000000000001" customHeight="1">
      <c r="E50" s="547" t="s">
        <v>60</v>
      </c>
      <c r="F50" s="547"/>
      <c r="G50" s="547"/>
      <c r="H50" s="53">
        <f>+IFERROR(IF(COUNT(H43:H49),ROUND(SUM(H43:H49),0),""),"")</f>
        <v>5</v>
      </c>
      <c r="I50" s="53">
        <f t="shared" ref="I50:K50" si="14">+IFERROR(IF(COUNT(I43:I49),ROUND(SUM(I43:I49),0),""),"")</f>
        <v>636947</v>
      </c>
      <c r="J50" s="53" t="str">
        <f t="shared" si="14"/>
        <v/>
      </c>
      <c r="K50" s="53" t="str">
        <f t="shared" si="14"/>
        <v/>
      </c>
      <c r="L50" s="189">
        <f t="shared" ref="L50" si="15">+IFERROR(IF(COUNT(I50:K50),ROUND(SUM(I50:K50),0),""),"")</f>
        <v>636947</v>
      </c>
      <c r="M50" s="172">
        <f>+IFERROR(IF(COUNT(L50),ROUND(L50/'Shareholding Pattern'!$L$78*100,2),""),"")</f>
        <v>0.46</v>
      </c>
      <c r="N50" s="53">
        <f t="shared" ref="N50" si="16">+IFERROR(IF(COUNT(N43:N49),ROUND(SUM(N43:N49),0),""),"")</f>
        <v>636947</v>
      </c>
      <c r="O50" s="53" t="str">
        <f t="shared" ref="O50" si="17">+IFERROR(IF(COUNT(O43:O49),ROUND(SUM(O43:O49),0),""),"")</f>
        <v/>
      </c>
      <c r="P50" s="189">
        <f>+IFERROR(IF(COUNT(N50:O50),ROUND(SUM(N50:O50),0),""),"")</f>
        <v>636947</v>
      </c>
      <c r="Q50" s="180">
        <f>+IFERROR(IF(COUNT(P50),ROUND(P50/'Shareholding Pattern'!$P$79*100,2),""),"")</f>
        <v>0.46</v>
      </c>
      <c r="R50" s="53">
        <f t="shared" ref="R50" si="18">+IFERROR(IF(COUNT(R43:R49),ROUND(SUM(R43:R49),0),""),"")</f>
        <v>0</v>
      </c>
      <c r="S50" s="53">
        <f t="shared" ref="S50:V50" si="19">+IFERROR(IF(COUNT(S43:S49),ROUND(SUM(S43:S49),0),""),"")</f>
        <v>0</v>
      </c>
      <c r="T50" s="189">
        <f>+IFERROR(IF(COUNT(R50:S50),ROUND(SUM(R50:S50),0),""),"")</f>
        <v>0</v>
      </c>
      <c r="U50" s="159">
        <f>+IFERROR(IF(COUNT(L50,T50),ROUND(SUM(L50,T50)/SUM('Shareholding Pattern'!$L$78,'Shareholding Pattern'!$T$78)*100,2),""),"")</f>
        <v>0.43</v>
      </c>
      <c r="V50" s="53" t="str">
        <f t="shared" si="19"/>
        <v/>
      </c>
      <c r="W50" s="184" t="str">
        <f>+IFERROR(IF(COUNT(V50),ROUND(SUM(V50)/SUM(L50)*100,2),""),0)</f>
        <v/>
      </c>
      <c r="X50" s="581"/>
      <c r="Y50" s="582"/>
      <c r="Z50" s="53">
        <f t="shared" ref="Z50" si="20">+IFERROR(IF(COUNT(Z43:Z49),ROUND(SUM(Z43:Z49),0),""),"")</f>
        <v>636947</v>
      </c>
      <c r="AA50" s="53">
        <f t="shared" ref="AA50" si="21">+IFERROR(IF(COUNT(AA43:AA49),ROUND(SUM(AA43:AA49),0),""),"")</f>
        <v>0</v>
      </c>
      <c r="AB50" s="53">
        <f t="shared" ref="AB50" si="22">+IFERROR(IF(COUNT(AB43:AB49),ROUND(SUM(AB43:AB49),0),""),"")</f>
        <v>0</v>
      </c>
      <c r="AC50" s="53">
        <f t="shared" ref="AC50" si="23">+IFERROR(IF(COUNT(AC43:AC49),ROUND(SUM(AC43:AC49),0),""),"")</f>
        <v>0</v>
      </c>
      <c r="AR50" t="s">
        <v>838</v>
      </c>
    </row>
    <row r="51" spans="5:58" ht="20.100000000000001" customHeight="1">
      <c r="E51" s="107" t="s">
        <v>672</v>
      </c>
      <c r="F51" s="550" t="s">
        <v>659</v>
      </c>
      <c r="G51" s="551"/>
      <c r="H51" s="551"/>
      <c r="I51" s="551"/>
      <c r="J51" s="551"/>
      <c r="K51" s="551"/>
      <c r="L51" s="551"/>
      <c r="M51" s="551"/>
      <c r="N51" s="551"/>
      <c r="O51" s="551"/>
      <c r="P51" s="551"/>
      <c r="Q51" s="551"/>
      <c r="R51" s="551"/>
      <c r="S51" s="551"/>
      <c r="T51" s="551"/>
      <c r="U51" s="551"/>
      <c r="V51" s="551"/>
      <c r="W51" s="551"/>
      <c r="X51" s="551"/>
      <c r="Y51" s="551"/>
      <c r="Z51" s="551"/>
      <c r="AA51" s="551"/>
      <c r="AB51" s="551"/>
      <c r="AC51" s="552"/>
    </row>
    <row r="52" spans="5:58" ht="20.100000000000001" customHeight="1">
      <c r="E52" s="379" t="s">
        <v>26</v>
      </c>
      <c r="F52" s="408" t="s">
        <v>649</v>
      </c>
      <c r="G52" s="402"/>
      <c r="H52" s="401"/>
      <c r="I52" s="277"/>
      <c r="J52" s="277"/>
      <c r="K52" s="277"/>
      <c r="L52" s="217" t="str">
        <f>+IFERROR(IF(COUNT(I52:K52),ROUND(SUM(I52:K52),0),""),"")</f>
        <v/>
      </c>
      <c r="M52" s="409"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77"/>
      <c r="Y52" s="578"/>
      <c r="Z52" s="277"/>
      <c r="AA52" s="277"/>
      <c r="AB52" s="277"/>
      <c r="AC52" s="277"/>
      <c r="AH52" t="s">
        <v>194</v>
      </c>
      <c r="AR52" t="s">
        <v>729</v>
      </c>
      <c r="AX52" t="s">
        <v>194</v>
      </c>
      <c r="AZ52" t="s">
        <v>767</v>
      </c>
      <c r="BF52" t="s">
        <v>766</v>
      </c>
    </row>
    <row r="53" spans="5:58" ht="20.100000000000001" customHeight="1">
      <c r="E53" s="380" t="s">
        <v>28</v>
      </c>
      <c r="F53" s="394" t="s">
        <v>660</v>
      </c>
      <c r="G53" s="375"/>
      <c r="H53" s="277"/>
      <c r="I53" s="277"/>
      <c r="J53" s="277"/>
      <c r="K53" s="277"/>
      <c r="L53" s="217" t="str">
        <f t="shared" ref="L53:L54" si="26">+IFERROR(IF(COUNT(I53:K53),ROUND(SUM(I53:K53),0),""),"")</f>
        <v/>
      </c>
      <c r="M53" s="409"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79"/>
      <c r="Y53" s="580"/>
      <c r="Z53" s="277"/>
      <c r="AA53" s="277"/>
      <c r="AB53" s="277"/>
      <c r="AC53" s="277"/>
      <c r="AH53" t="s">
        <v>829</v>
      </c>
      <c r="AR53" t="s">
        <v>730</v>
      </c>
      <c r="AX53" t="s">
        <v>829</v>
      </c>
      <c r="AZ53" t="s">
        <v>769</v>
      </c>
      <c r="BF53" t="s">
        <v>768</v>
      </c>
    </row>
    <row r="54" spans="5:58" ht="30">
      <c r="E54" s="381" t="s">
        <v>30</v>
      </c>
      <c r="F54" s="395" t="s">
        <v>661</v>
      </c>
      <c r="H54" s="277"/>
      <c r="I54" s="277"/>
      <c r="J54" s="277"/>
      <c r="K54" s="277"/>
      <c r="L54" s="410" t="str">
        <f t="shared" si="26"/>
        <v/>
      </c>
      <c r="M54" s="411" t="str">
        <f>+IFERROR(IF(COUNT(L54),ROUND(L54/'Shareholding Pattern'!$L$78*100,2),""),"")</f>
        <v/>
      </c>
      <c r="N54" s="277"/>
      <c r="O54" s="277"/>
      <c r="P54" s="396" t="str">
        <f t="shared" si="27"/>
        <v/>
      </c>
      <c r="Q54" s="412" t="str">
        <f>+IFERROR(IF(COUNT(P54),ROUND(P54/'Shareholding Pattern'!$P$79*100,2),""),"")</f>
        <v/>
      </c>
      <c r="R54" s="277"/>
      <c r="S54" s="277"/>
      <c r="T54" s="396" t="str">
        <f t="shared" si="28"/>
        <v/>
      </c>
      <c r="U54" s="397" t="str">
        <f>+IFERROR(IF(COUNT(L54,T54),ROUND(SUM(L54,T54)/SUM('Shareholding Pattern'!$L$78,'Shareholding Pattern'!$T$78)*100,2),""),"")</f>
        <v/>
      </c>
      <c r="V54" s="277"/>
      <c r="W54" s="398" t="str">
        <f t="shared" si="29"/>
        <v/>
      </c>
      <c r="X54" s="579"/>
      <c r="Y54" s="580"/>
      <c r="Z54" s="277"/>
      <c r="AA54" s="277"/>
      <c r="AB54" s="277"/>
      <c r="AC54" s="277"/>
      <c r="AH54" t="s">
        <v>830</v>
      </c>
      <c r="AR54" t="s">
        <v>731</v>
      </c>
      <c r="AX54" t="s">
        <v>830</v>
      </c>
      <c r="AZ54" t="s">
        <v>771</v>
      </c>
      <c r="BF54" t="s">
        <v>770</v>
      </c>
    </row>
    <row r="55" spans="5:58" ht="20.100000000000001" customHeight="1">
      <c r="E55" s="547" t="s">
        <v>65</v>
      </c>
      <c r="F55" s="547"/>
      <c r="G55" s="547"/>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79"/>
      <c r="Y55" s="580"/>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00000000000001" customHeight="1">
      <c r="E56" s="113" t="s">
        <v>673</v>
      </c>
      <c r="F56" s="231" t="s">
        <v>61</v>
      </c>
      <c r="G56" s="160"/>
      <c r="H56" s="338"/>
      <c r="I56" s="338"/>
      <c r="J56" s="338"/>
      <c r="K56" s="160"/>
      <c r="L56" s="160"/>
      <c r="M56" s="161"/>
      <c r="N56" s="162"/>
      <c r="O56" s="162"/>
      <c r="P56" s="338"/>
      <c r="Q56" s="161"/>
      <c r="R56" s="338"/>
      <c r="S56" s="338"/>
      <c r="T56" s="338"/>
      <c r="U56" s="160"/>
      <c r="V56" s="162"/>
      <c r="W56" s="163"/>
      <c r="X56" s="579"/>
      <c r="Y56" s="580"/>
      <c r="Z56" s="403"/>
      <c r="AA56" s="145"/>
      <c r="AB56" s="145"/>
      <c r="AC56" s="343"/>
    </row>
    <row r="57" spans="5:58" ht="51.75" customHeight="1">
      <c r="E57" s="378" t="s">
        <v>26</v>
      </c>
      <c r="F57" s="376" t="s">
        <v>662</v>
      </c>
      <c r="H57" s="277"/>
      <c r="I57" s="277"/>
      <c r="J57" s="277"/>
      <c r="K57" s="277"/>
      <c r="L57" s="217" t="str">
        <f>+IFERROR(IF(COUNT(I57:K57),ROUND(SUM(I57:K57),0),""),"")</f>
        <v/>
      </c>
      <c r="M57" s="409" t="str">
        <f>+IFERROR(IF(COUNT(L57),ROUND(L57/'Shareholding Pattern'!$L$78*100,2),""),"")</f>
        <v/>
      </c>
      <c r="N57" s="277"/>
      <c r="O57" s="277"/>
      <c r="P57" s="217" t="str">
        <f t="shared" ref="P57:P67"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79"/>
      <c r="Y57" s="580"/>
      <c r="Z57" s="277"/>
      <c r="AA57" s="277"/>
      <c r="AB57" s="277"/>
      <c r="AC57" s="277"/>
      <c r="AH57" t="s">
        <v>831</v>
      </c>
      <c r="AR57" t="s">
        <v>732</v>
      </c>
      <c r="AX57" t="s">
        <v>831</v>
      </c>
      <c r="AZ57" t="s">
        <v>773</v>
      </c>
      <c r="BF57" t="s">
        <v>772</v>
      </c>
    </row>
    <row r="58" spans="5:58" ht="51.75" customHeight="1">
      <c r="E58" s="378" t="s">
        <v>28</v>
      </c>
      <c r="F58" s="376" t="s">
        <v>663</v>
      </c>
      <c r="H58" s="277"/>
      <c r="I58" s="277"/>
      <c r="J58" s="277"/>
      <c r="K58" s="277"/>
      <c r="L58" s="217" t="str">
        <f t="shared" ref="L58:L67" si="40">+IFERROR(IF(COUNT(I58:K58),ROUND(SUM(I58:K58),0),""),"")</f>
        <v/>
      </c>
      <c r="M58" s="409"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79"/>
      <c r="Y58" s="580"/>
      <c r="Z58" s="277"/>
      <c r="AA58" s="277"/>
      <c r="AB58" s="277"/>
      <c r="AC58" s="277"/>
      <c r="AH58" t="s">
        <v>832</v>
      </c>
      <c r="AR58" t="s">
        <v>733</v>
      </c>
      <c r="AX58" t="s">
        <v>832</v>
      </c>
      <c r="AZ58" t="s">
        <v>775</v>
      </c>
      <c r="BF58" t="s">
        <v>774</v>
      </c>
    </row>
    <row r="59" spans="5:58" ht="51.75" customHeight="1">
      <c r="E59" s="378" t="s">
        <v>30</v>
      </c>
      <c r="F59" s="376" t="s">
        <v>664</v>
      </c>
      <c r="H59" s="277"/>
      <c r="I59" s="277"/>
      <c r="J59" s="277"/>
      <c r="K59" s="277"/>
      <c r="L59" s="217" t="str">
        <f t="shared" si="40"/>
        <v/>
      </c>
      <c r="M59" s="409"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79"/>
      <c r="Y59" s="580"/>
      <c r="Z59" s="277"/>
      <c r="AA59" s="277"/>
      <c r="AB59" s="277"/>
      <c r="AC59" s="277"/>
      <c r="AH59" t="s">
        <v>664</v>
      </c>
      <c r="AR59" t="s">
        <v>734</v>
      </c>
      <c r="AX59" t="s">
        <v>664</v>
      </c>
      <c r="AZ59" t="s">
        <v>777</v>
      </c>
      <c r="BF59" t="s">
        <v>776</v>
      </c>
    </row>
    <row r="60" spans="5:58" ht="51.75" customHeight="1">
      <c r="E60" s="378" t="s">
        <v>32</v>
      </c>
      <c r="F60" s="376" t="s">
        <v>665</v>
      </c>
      <c r="H60" s="277"/>
      <c r="I60" s="277"/>
      <c r="J60" s="277"/>
      <c r="K60" s="277"/>
      <c r="L60" s="217" t="str">
        <f t="shared" si="40"/>
        <v/>
      </c>
      <c r="M60" s="409"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79"/>
      <c r="Y60" s="580"/>
      <c r="Z60" s="277"/>
      <c r="AA60" s="277"/>
      <c r="AB60" s="277"/>
      <c r="AC60" s="277"/>
      <c r="AH60" t="s">
        <v>833</v>
      </c>
      <c r="AR60" t="s">
        <v>735</v>
      </c>
      <c r="AX60" t="s">
        <v>833</v>
      </c>
      <c r="AZ60" t="s">
        <v>779</v>
      </c>
      <c r="BF60" t="s">
        <v>778</v>
      </c>
    </row>
    <row r="61" spans="5:58" ht="51.75" customHeight="1">
      <c r="E61" s="378" t="s">
        <v>42</v>
      </c>
      <c r="F61" s="376" t="s">
        <v>666</v>
      </c>
      <c r="H61" s="277"/>
      <c r="I61" s="277"/>
      <c r="J61" s="277"/>
      <c r="K61" s="277"/>
      <c r="L61" s="217" t="str">
        <f t="shared" si="40"/>
        <v/>
      </c>
      <c r="M61" s="409"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79"/>
      <c r="Y61" s="580"/>
      <c r="Z61" s="277"/>
      <c r="AA61" s="277"/>
      <c r="AB61" s="277"/>
      <c r="AC61" s="277"/>
      <c r="AH61" t="s">
        <v>834</v>
      </c>
      <c r="AR61" t="s">
        <v>736</v>
      </c>
      <c r="AX61" t="s">
        <v>834</v>
      </c>
      <c r="AZ61" t="s">
        <v>781</v>
      </c>
      <c r="BF61" t="s">
        <v>780</v>
      </c>
    </row>
    <row r="62" spans="5:58" ht="51.75" customHeight="1">
      <c r="E62" s="378" t="s">
        <v>50</v>
      </c>
      <c r="F62" s="399" t="s">
        <v>667</v>
      </c>
      <c r="H62" s="277"/>
      <c r="I62" s="277"/>
      <c r="J62" s="277"/>
      <c r="K62" s="277"/>
      <c r="L62" s="217" t="str">
        <f t="shared" si="40"/>
        <v/>
      </c>
      <c r="M62" s="409"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79"/>
      <c r="Y62" s="580"/>
      <c r="Z62" s="277"/>
      <c r="AA62" s="277"/>
      <c r="AB62" s="277"/>
      <c r="AC62" s="277"/>
      <c r="AH62" t="s">
        <v>835</v>
      </c>
      <c r="AR62" t="s">
        <v>737</v>
      </c>
      <c r="AX62" t="s">
        <v>835</v>
      </c>
      <c r="AZ62" t="s">
        <v>783</v>
      </c>
      <c r="BF62" t="s">
        <v>782</v>
      </c>
    </row>
    <row r="63" spans="5:58" ht="51.75" customHeight="1">
      <c r="E63" s="378" t="s">
        <v>51</v>
      </c>
      <c r="F63" s="376" t="s">
        <v>650</v>
      </c>
      <c r="H63" s="277">
        <v>5304</v>
      </c>
      <c r="I63" s="277">
        <v>11757233</v>
      </c>
      <c r="J63" s="277"/>
      <c r="K63" s="277"/>
      <c r="L63" s="217">
        <v>11757233</v>
      </c>
      <c r="M63" s="409">
        <f>+IFERROR(IF(COUNT(L63),ROUND(L63/'Shareholding Pattern'!$L$78*100,2),""),"")</f>
        <v>8.5</v>
      </c>
      <c r="N63" s="277">
        <v>11757233</v>
      </c>
      <c r="O63" s="277"/>
      <c r="P63" s="217">
        <v>11757233</v>
      </c>
      <c r="Q63" s="176">
        <f>+IFERROR(IF(COUNT(P63),ROUND(P63/'Shareholding Pattern'!$P$79*100,2),""),"")</f>
        <v>8.5</v>
      </c>
      <c r="R63" s="277">
        <v>9198</v>
      </c>
      <c r="S63" s="277">
        <v>3825000</v>
      </c>
      <c r="T63" s="217">
        <f t="shared" si="41"/>
        <v>3834198</v>
      </c>
      <c r="U63" s="218">
        <f>+IFERROR(IF(COUNT(L63,T63),ROUND(SUM(L63,T63)/SUM('Shareholding Pattern'!$L$78,'Shareholding Pattern'!$T$78)*100,2),""),"")</f>
        <v>10.53</v>
      </c>
      <c r="V63" s="277"/>
      <c r="W63" s="182" t="str">
        <f t="shared" si="39"/>
        <v/>
      </c>
      <c r="X63" s="579"/>
      <c r="Y63" s="580"/>
      <c r="Z63" s="277">
        <v>11749233</v>
      </c>
      <c r="AA63" s="277">
        <v>0</v>
      </c>
      <c r="AB63" s="277">
        <v>0</v>
      </c>
      <c r="AC63" s="277">
        <v>0</v>
      </c>
      <c r="AH63" t="s">
        <v>195</v>
      </c>
      <c r="AR63" t="s">
        <v>738</v>
      </c>
      <c r="AX63" t="s">
        <v>195</v>
      </c>
      <c r="AZ63" t="s">
        <v>785</v>
      </c>
      <c r="BF63" t="s">
        <v>784</v>
      </c>
    </row>
    <row r="64" spans="5:58" ht="43.5" customHeight="1">
      <c r="E64" s="378" t="s">
        <v>53</v>
      </c>
      <c r="F64" s="234" t="s">
        <v>651</v>
      </c>
      <c r="H64" s="277">
        <v>23</v>
      </c>
      <c r="I64" s="277">
        <v>18279045</v>
      </c>
      <c r="J64" s="277"/>
      <c r="K64" s="277"/>
      <c r="L64" s="217">
        <v>18279045</v>
      </c>
      <c r="M64" s="409">
        <f>+IFERROR(IF(COUNT(L64),ROUND(L64/'Shareholding Pattern'!$L$78*100,2),""),"")</f>
        <v>13.21</v>
      </c>
      <c r="N64" s="277">
        <v>18279045</v>
      </c>
      <c r="O64" s="277"/>
      <c r="P64" s="217">
        <v>18279045</v>
      </c>
      <c r="Q64" s="176">
        <f>+IFERROR(IF(COUNT(P64),ROUND(P64/'Shareholding Pattern'!$P$79*100,2),""),"")</f>
        <v>13.21</v>
      </c>
      <c r="R64" s="277">
        <v>1618</v>
      </c>
      <c r="S64" s="277">
        <v>0</v>
      </c>
      <c r="T64" s="217">
        <f t="shared" si="41"/>
        <v>1618</v>
      </c>
      <c r="U64" s="218">
        <f>+IFERROR(IF(COUNT(L64,T64),ROUND(SUM(L64,T64)/SUM('Shareholding Pattern'!$L$78,'Shareholding Pattern'!$T$78)*100,2),""),"")</f>
        <v>12.35</v>
      </c>
      <c r="V64" s="277"/>
      <c r="W64" s="182" t="str">
        <f t="shared" si="39"/>
        <v/>
      </c>
      <c r="X64" s="579"/>
      <c r="Y64" s="580"/>
      <c r="Z64" s="277">
        <v>18279045</v>
      </c>
      <c r="AA64" s="277">
        <v>0</v>
      </c>
      <c r="AB64" s="277">
        <v>0</v>
      </c>
      <c r="AC64" s="277">
        <v>0</v>
      </c>
      <c r="AH64" t="s">
        <v>196</v>
      </c>
      <c r="AR64" t="s">
        <v>739</v>
      </c>
      <c r="AX64" t="s">
        <v>196</v>
      </c>
      <c r="AZ64" t="s">
        <v>787</v>
      </c>
      <c r="BF64" t="s">
        <v>786</v>
      </c>
    </row>
    <row r="65" spans="5:58" ht="43.5" customHeight="1">
      <c r="E65" s="378" t="s">
        <v>55</v>
      </c>
      <c r="F65" s="234" t="s">
        <v>668</v>
      </c>
      <c r="H65" s="277">
        <v>51</v>
      </c>
      <c r="I65" s="277">
        <v>909605</v>
      </c>
      <c r="J65" s="277"/>
      <c r="K65" s="277"/>
      <c r="L65" s="217">
        <v>909605</v>
      </c>
      <c r="M65" s="409">
        <f>+IFERROR(IF(COUNT(L65),ROUND(L65/'Shareholding Pattern'!$L$78*100,2),""),"")</f>
        <v>0.66</v>
      </c>
      <c r="N65" s="277">
        <v>909605</v>
      </c>
      <c r="O65" s="277"/>
      <c r="P65" s="217">
        <v>909605</v>
      </c>
      <c r="Q65" s="176">
        <f>+IFERROR(IF(COUNT(P65),ROUND(P65/'Shareholding Pattern'!$P$79*100,2),""),"")</f>
        <v>0.66</v>
      </c>
      <c r="R65" s="277">
        <v>0</v>
      </c>
      <c r="S65" s="277">
        <v>0</v>
      </c>
      <c r="T65" s="217">
        <f t="shared" si="41"/>
        <v>0</v>
      </c>
      <c r="U65" s="218">
        <f>+IFERROR(IF(COUNT(L65,T65),ROUND(SUM(L65,T65)/SUM('Shareholding Pattern'!$L$78,'Shareholding Pattern'!$T$78)*100,2),""),"")</f>
        <v>0.61</v>
      </c>
      <c r="V65" s="277"/>
      <c r="W65" s="182" t="str">
        <f t="shared" si="39"/>
        <v/>
      </c>
      <c r="X65" s="579"/>
      <c r="Y65" s="580"/>
      <c r="Z65" s="277">
        <v>909605</v>
      </c>
      <c r="AA65" s="277">
        <v>0</v>
      </c>
      <c r="AB65" s="277">
        <v>0</v>
      </c>
      <c r="AC65" s="277">
        <v>0</v>
      </c>
      <c r="AH65" t="s">
        <v>668</v>
      </c>
      <c r="AR65" t="s">
        <v>740</v>
      </c>
      <c r="AX65" t="s">
        <v>668</v>
      </c>
      <c r="AZ65" t="s">
        <v>789</v>
      </c>
      <c r="BF65" t="s">
        <v>788</v>
      </c>
    </row>
    <row r="66" spans="5:58" ht="43.5" customHeight="1">
      <c r="E66" s="378" t="s">
        <v>670</v>
      </c>
      <c r="F66" s="234" t="s">
        <v>464</v>
      </c>
      <c r="H66" s="277"/>
      <c r="I66" s="277"/>
      <c r="J66" s="277"/>
      <c r="K66" s="277"/>
      <c r="L66" s="217" t="str">
        <f t="shared" si="40"/>
        <v/>
      </c>
      <c r="M66" s="409"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79"/>
      <c r="Y66" s="580"/>
      <c r="Z66" s="277"/>
      <c r="AA66" s="277"/>
      <c r="AB66" s="277"/>
      <c r="AC66" s="277"/>
      <c r="AH66" t="s">
        <v>464</v>
      </c>
      <c r="AR66" t="s">
        <v>741</v>
      </c>
      <c r="AX66" t="s">
        <v>464</v>
      </c>
      <c r="AZ66" t="s">
        <v>791</v>
      </c>
      <c r="BF66" t="s">
        <v>790</v>
      </c>
    </row>
    <row r="67" spans="5:58" ht="43.5" customHeight="1">
      <c r="E67" s="378" t="s">
        <v>671</v>
      </c>
      <c r="F67" s="234" t="s">
        <v>669</v>
      </c>
      <c r="H67" s="277"/>
      <c r="I67" s="277"/>
      <c r="J67" s="277"/>
      <c r="K67" s="277"/>
      <c r="L67" s="217" t="str">
        <f t="shared" si="40"/>
        <v/>
      </c>
      <c r="M67" s="409"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79"/>
      <c r="Y67" s="580"/>
      <c r="Z67" s="277"/>
      <c r="AA67" s="277"/>
      <c r="AB67" s="277"/>
      <c r="AC67" s="277"/>
      <c r="AH67" t="s">
        <v>669</v>
      </c>
      <c r="AR67" t="s">
        <v>742</v>
      </c>
      <c r="AX67" t="s">
        <v>669</v>
      </c>
      <c r="AZ67" t="s">
        <v>793</v>
      </c>
      <c r="BF67" t="s">
        <v>792</v>
      </c>
    </row>
    <row r="68" spans="5:58" ht="39" customHeight="1">
      <c r="E68" s="378" t="s">
        <v>674</v>
      </c>
      <c r="F68" s="234" t="s">
        <v>440</v>
      </c>
      <c r="H68" s="277">
        <v>48</v>
      </c>
      <c r="I68" s="277">
        <v>35773446</v>
      </c>
      <c r="J68" s="277"/>
      <c r="K68" s="277"/>
      <c r="L68" s="217">
        <v>35773446</v>
      </c>
      <c r="M68" s="409">
        <f>+IFERROR(IF(COUNT(L68),ROUND(L68/'Shareholding Pattern'!$L$78*100,2),""),"")</f>
        <v>25.86</v>
      </c>
      <c r="N68" s="277">
        <v>35773446</v>
      </c>
      <c r="O68" s="277"/>
      <c r="P68" s="217">
        <v>35773446</v>
      </c>
      <c r="Q68" s="176">
        <f>+IFERROR(IF(COUNT(P68),ROUND(P68/'Shareholding Pattern'!$P$79*100,2),""),"")</f>
        <v>25.86</v>
      </c>
      <c r="R68" s="277">
        <v>2630728</v>
      </c>
      <c r="S68" s="277">
        <v>260000</v>
      </c>
      <c r="T68" s="217">
        <f t="shared" si="41"/>
        <v>2890728</v>
      </c>
      <c r="U68" s="218">
        <f>+IFERROR(IF(COUNT(L68,T68),ROUND(SUM(L68,T68)/SUM('Shareholding Pattern'!$L$78,'Shareholding Pattern'!$T$78)*100,2),""),"")</f>
        <v>26.11</v>
      </c>
      <c r="V68" s="277"/>
      <c r="W68" s="182" t="str">
        <f t="shared" si="39"/>
        <v/>
      </c>
      <c r="X68" s="579"/>
      <c r="Y68" s="580"/>
      <c r="Z68" s="277">
        <v>35772946</v>
      </c>
      <c r="AA68" s="277">
        <v>0</v>
      </c>
      <c r="AB68" s="277">
        <v>0</v>
      </c>
      <c r="AC68" s="277">
        <v>0</v>
      </c>
      <c r="AH68" t="s">
        <v>440</v>
      </c>
      <c r="AR68" t="s">
        <v>743</v>
      </c>
      <c r="AX68" t="s">
        <v>440</v>
      </c>
      <c r="AZ68" t="s">
        <v>795</v>
      </c>
      <c r="BF68" t="s">
        <v>794</v>
      </c>
    </row>
    <row r="69" spans="5:58" ht="20.100000000000001" customHeight="1">
      <c r="E69" s="378" t="s">
        <v>675</v>
      </c>
      <c r="F69" s="235" t="s">
        <v>33</v>
      </c>
      <c r="H69" s="277">
        <v>106</v>
      </c>
      <c r="I69" s="277">
        <v>2969190</v>
      </c>
      <c r="J69" s="277"/>
      <c r="K69" s="277"/>
      <c r="L69" s="217">
        <v>2969190</v>
      </c>
      <c r="M69" s="409">
        <f>+IFERROR(IF(COUNT(L69),ROUND(L69/'Shareholding Pattern'!$L$78*100,2),""),"")</f>
        <v>2.15</v>
      </c>
      <c r="N69" s="277">
        <v>2969190</v>
      </c>
      <c r="O69" s="277"/>
      <c r="P69" s="217">
        <v>2969190</v>
      </c>
      <c r="Q69" s="176">
        <f>+IFERROR(IF(COUNT(P69),ROUND(P69/'Shareholding Pattern'!$P$79*100,2),""),"")</f>
        <v>2.15</v>
      </c>
      <c r="R69" s="277">
        <v>23698</v>
      </c>
      <c r="S69" s="277">
        <v>1075000</v>
      </c>
      <c r="T69" s="217">
        <f t="shared" si="41"/>
        <v>1098698</v>
      </c>
      <c r="U69" s="218">
        <f>+IFERROR(IF(COUNT(L69,T69),ROUND(SUM(L69,T69)/SUM('Shareholding Pattern'!$L$78,'Shareholding Pattern'!$T$78)*100,2),""),"")</f>
        <v>2.75</v>
      </c>
      <c r="V69" s="277"/>
      <c r="W69" s="182" t="str">
        <f t="shared" si="39"/>
        <v/>
      </c>
      <c r="X69" s="579"/>
      <c r="Y69" s="580"/>
      <c r="Z69" s="277">
        <v>2969190</v>
      </c>
      <c r="AA69" s="277">
        <v>0</v>
      </c>
      <c r="AB69" s="277">
        <v>0</v>
      </c>
      <c r="AC69" s="277">
        <v>0</v>
      </c>
      <c r="AH69" t="s">
        <v>800</v>
      </c>
      <c r="AR69" t="s">
        <v>185</v>
      </c>
      <c r="AX69" t="s">
        <v>800</v>
      </c>
      <c r="AZ69" t="s">
        <v>797</v>
      </c>
      <c r="BF69" t="s">
        <v>796</v>
      </c>
    </row>
    <row r="70" spans="5:58" ht="20.100000000000001" customHeight="1">
      <c r="E70" s="547" t="s">
        <v>676</v>
      </c>
      <c r="F70" s="547"/>
      <c r="G70" s="547"/>
      <c r="H70" s="190">
        <f>+IFERROR(IF(COUNT(H57:H69),ROUND(SUM(H57:H69),0),""),"")</f>
        <v>5532</v>
      </c>
      <c r="I70" s="190">
        <f>+IFERROR(IF(COUNT(I57:I69),ROUND(SUM(I57:I69),0),""),"")</f>
        <v>69688519</v>
      </c>
      <c r="J70" s="190" t="str">
        <f>+IFERROR(IF(COUNT(J57:J69),ROUND(SUM(J57:J69),0),""),"")</f>
        <v/>
      </c>
      <c r="K70" s="165" t="str">
        <f>+IFERROR(IF(COUNT(K57:K69),ROUND(SUM(K57:K69),0),""),"")</f>
        <v/>
      </c>
      <c r="L70" s="189">
        <f t="shared" ref="L70:L71" si="42">+IFERROR(IF(COUNT(I70:K70),ROUND(SUM(I70:K70),0),""),"")</f>
        <v>69688519</v>
      </c>
      <c r="M70" s="173">
        <f>+IFERROR(IF(COUNT(L70),ROUND(L70/'Shareholding Pattern'!$L$78*100,2),""),"")</f>
        <v>50.37</v>
      </c>
      <c r="N70" s="166">
        <f>+IFERROR(IF(COUNT(N57:N69),ROUND(SUM(N57:N69),0),""),"")</f>
        <v>69688519</v>
      </c>
      <c r="O70" s="166" t="str">
        <f>+IFERROR(IF(COUNT(O57:O69),ROUND(SUM(O57:O69),0),""),"")</f>
        <v/>
      </c>
      <c r="P70" s="189">
        <f t="shared" ref="P70" si="43">+IFERROR(IF(COUNT(N70:O70),ROUND(SUM(N70:O70),0),""),"")</f>
        <v>69688519</v>
      </c>
      <c r="Q70" s="177">
        <f>+IFERROR(IF(COUNT(P70),ROUND(P70/'Shareholding Pattern'!$P$79*100,2),""),"")</f>
        <v>50.37</v>
      </c>
      <c r="R70" s="190">
        <f>+IFERROR(IF(COUNT(R57:R69),ROUND(SUM(R57:R69),0),""),"")</f>
        <v>2665242</v>
      </c>
      <c r="S70" s="190">
        <f>+IFERROR(IF(COUNT(S57:S69),ROUND(SUM(S57:S69),0),""),"")</f>
        <v>5160000</v>
      </c>
      <c r="T70" s="189">
        <f t="shared" ref="T70" si="44">+IFERROR(IF(COUNT(R70:S70),ROUND(SUM(R70:S70),0),""),"")</f>
        <v>7825242</v>
      </c>
      <c r="U70" s="167">
        <f>+IFERROR(IF(COUNT(L70,T70),ROUND(SUM(L70,T70)/SUM('Shareholding Pattern'!$L$78,'Shareholding Pattern'!$T$78)*100,2),""),"")</f>
        <v>52.35</v>
      </c>
      <c r="V70" s="166" t="str">
        <f>+IFERROR(IF(COUNT(V57:V69),ROUND(SUM(V57:V69),0),""),"")</f>
        <v/>
      </c>
      <c r="W70" s="183" t="str">
        <f t="shared" si="39"/>
        <v/>
      </c>
      <c r="X70" s="579"/>
      <c r="Y70" s="580"/>
      <c r="Z70" s="190">
        <f>+IFERROR(IF(COUNT(Z57:Z69),ROUND(SUM(Z57:Z69),0),""),"")</f>
        <v>69680019</v>
      </c>
      <c r="AA70" s="190">
        <f t="shared" ref="AA70:AC70" si="45">+IFERROR(IF(COUNT(AA57:AA69),ROUND(SUM(AA57:AA69),0),""),"")</f>
        <v>0</v>
      </c>
      <c r="AB70" s="190">
        <f t="shared" si="45"/>
        <v>0</v>
      </c>
      <c r="AC70" s="190">
        <f t="shared" si="45"/>
        <v>0</v>
      </c>
      <c r="AR70" t="s">
        <v>186</v>
      </c>
    </row>
    <row r="71" spans="5:58" ht="20.100000000000001" customHeight="1">
      <c r="E71" s="548" t="s">
        <v>677</v>
      </c>
      <c r="F71" s="548"/>
      <c r="G71" s="548"/>
      <c r="H71" s="190">
        <f>+IFERROR(IF(COUNT(H41,H50,H55,H70),ROUND(SUM(H41,H50,H55,H70),0),""),"")</f>
        <v>5537</v>
      </c>
      <c r="I71" s="190">
        <f t="shared" ref="I71:K71" si="46">+IFERROR(IF(COUNT(I41,I50,I55,I70),ROUND(SUM(I41,I50,I55,I70),0),""),"")</f>
        <v>70325466</v>
      </c>
      <c r="J71" s="190" t="str">
        <f t="shared" si="46"/>
        <v/>
      </c>
      <c r="K71" s="190" t="str">
        <f t="shared" si="46"/>
        <v/>
      </c>
      <c r="L71" s="189">
        <f t="shared" si="42"/>
        <v>70325466</v>
      </c>
      <c r="M71" s="173">
        <f>+IFERROR(IF(COUNT(L71),ROUND(L71/'Shareholding Pattern'!$L$78*100,2),""),"")</f>
        <v>50.83</v>
      </c>
      <c r="N71" s="190">
        <f t="shared" ref="N71" si="47">+IFERROR(IF(COUNT(N41,N50,N55,N70),ROUND(SUM(N41,N50,N55,N70),0),""),"")</f>
        <v>70325466</v>
      </c>
      <c r="O71" s="190" t="str">
        <f t="shared" ref="O71:P71" si="48">+IFERROR(IF(COUNT(O41,O50,O55,O70),ROUND(SUM(O41,O50,O55,O70),0),""),"")</f>
        <v/>
      </c>
      <c r="P71" s="190">
        <f t="shared" si="48"/>
        <v>70325466</v>
      </c>
      <c r="Q71" s="177">
        <f>+IFERROR(IF(COUNT(P71),ROUND(P71/'Shareholding Pattern'!$P$79*100,2),""),"")</f>
        <v>50.83</v>
      </c>
      <c r="R71" s="190">
        <f t="shared" ref="R71" si="49">+IFERROR(IF(COUNT(R41,R50,R55,R70),ROUND(SUM(R41,R50,R55,R70),0),""),"")</f>
        <v>2665242</v>
      </c>
      <c r="S71" s="190">
        <f t="shared" ref="S71" si="50">+IFERROR(IF(COUNT(S41,S50,S55,S70),ROUND(SUM(S41,S50,S55,S70),0),""),"")</f>
        <v>5160000</v>
      </c>
      <c r="T71" s="341">
        <f t="shared" ref="T71" si="51">+IFERROR(IF(COUNT(R71:S71),ROUND(SUM(R71:S71),0),""),"")</f>
        <v>7825242</v>
      </c>
      <c r="U71" s="167">
        <f>+IFERROR(IF(COUNT(L71,T71),ROUND(SUM(L71,T71)/SUM('Shareholding Pattern'!$L$78,'Shareholding Pattern'!$T$78)*100,2),""),"")</f>
        <v>52.78</v>
      </c>
      <c r="V71" s="190" t="str">
        <f t="shared" ref="V71" si="52">+IFERROR(IF(COUNT(V41,V50,V55,V70),ROUND(SUM(V41,V50,V55,V70),0),""),"")</f>
        <v/>
      </c>
      <c r="W71" s="183" t="str">
        <f t="shared" si="39"/>
        <v/>
      </c>
      <c r="X71" s="581"/>
      <c r="Y71" s="582"/>
      <c r="Z71" s="190">
        <f t="shared" ref="Z71" si="53">+IFERROR(IF(COUNT(Z41,Z50,Z55,Z70),ROUND(SUM(Z41,Z50,Z55,Z70),0),""),"")</f>
        <v>70316966</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5"/>
      <c r="AA72" s="405"/>
      <c r="AB72" s="405"/>
      <c r="AC72" s="346"/>
    </row>
    <row r="73" spans="5:58" ht="42" customHeight="1">
      <c r="E73" s="130"/>
      <c r="F73" s="230" t="s">
        <v>371</v>
      </c>
      <c r="M73"/>
      <c r="N73"/>
      <c r="O73"/>
      <c r="Q73"/>
      <c r="U73"/>
      <c r="V73"/>
      <c r="W73"/>
      <c r="X73"/>
      <c r="Y73"/>
      <c r="Z73" s="406"/>
      <c r="AA73" s="406"/>
      <c r="AB73" s="406"/>
      <c r="AC73" s="347"/>
    </row>
    <row r="74" spans="5:58" ht="34.5" customHeight="1">
      <c r="E74" s="117" t="s">
        <v>57</v>
      </c>
      <c r="F74" s="553" t="s">
        <v>58</v>
      </c>
      <c r="G74" s="554"/>
      <c r="H74" s="554"/>
      <c r="I74" s="554"/>
      <c r="J74" s="554"/>
      <c r="K74" s="554"/>
      <c r="L74" s="554"/>
      <c r="M74" s="554"/>
      <c r="N74" s="554"/>
      <c r="O74" s="554"/>
      <c r="P74" s="554"/>
      <c r="Q74" s="554"/>
      <c r="R74" s="554"/>
      <c r="S74" s="554"/>
      <c r="T74" s="554"/>
      <c r="U74" s="554"/>
      <c r="V74" s="554"/>
      <c r="W74" s="554"/>
      <c r="X74" s="554"/>
      <c r="Y74" s="554"/>
      <c r="Z74" s="554"/>
      <c r="AA74" s="554"/>
      <c r="AB74" s="554"/>
      <c r="AC74" s="555"/>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86"/>
      <c r="Y75" s="587"/>
      <c r="Z75" s="277"/>
      <c r="AA75" s="558"/>
      <c r="AB75" s="559"/>
      <c r="AC75" s="560"/>
      <c r="AH75" t="s">
        <v>298</v>
      </c>
      <c r="AR75" t="s">
        <v>188</v>
      </c>
      <c r="AX75" t="s">
        <v>298</v>
      </c>
      <c r="AZ75" t="s">
        <v>333</v>
      </c>
      <c r="BF75" t="s">
        <v>322</v>
      </c>
    </row>
    <row r="76" spans="5:58" ht="46.5" customHeight="1">
      <c r="E76" s="118" t="s">
        <v>59</v>
      </c>
      <c r="F76" s="438"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88"/>
      <c r="Y76" s="589"/>
      <c r="Z76" s="277"/>
      <c r="AA76" s="558"/>
      <c r="AB76" s="559"/>
      <c r="AC76" s="560"/>
      <c r="AH76" t="s">
        <v>198</v>
      </c>
      <c r="AR76" t="s">
        <v>189</v>
      </c>
      <c r="AX76" t="s">
        <v>198</v>
      </c>
      <c r="AZ76" t="s">
        <v>836</v>
      </c>
      <c r="BF76" t="s">
        <v>837</v>
      </c>
    </row>
    <row r="77" spans="5:58" ht="31.5" customHeight="1">
      <c r="E77" s="549" t="s">
        <v>67</v>
      </c>
      <c r="F77" s="549"/>
      <c r="G77" s="549"/>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88"/>
      <c r="Y77" s="589"/>
      <c r="Z77" s="149" t="str">
        <f t="shared" si="58"/>
        <v/>
      </c>
      <c r="AA77" s="561"/>
      <c r="AB77" s="562"/>
      <c r="AC77" s="563"/>
      <c r="AR77" t="s">
        <v>190</v>
      </c>
    </row>
    <row r="78" spans="5:58" ht="26.25" customHeight="1">
      <c r="E78" s="572" t="s">
        <v>68</v>
      </c>
      <c r="F78" s="572"/>
      <c r="G78" s="572"/>
      <c r="H78" s="149">
        <f>+IFERROR(IF(COUNT(H26,H71,H76),ROUND(SUM(H26,H71,H76),0),""),"")</f>
        <v>5541</v>
      </c>
      <c r="I78" s="149">
        <f>+IFERROR(IF(COUNT(I26,I71,I76),ROUND(SUM(I26,I71,I76),0),""),"")</f>
        <v>138359610</v>
      </c>
      <c r="J78" s="149" t="str">
        <f>+IFERROR(IF(COUNT(J26,J71,J76),ROUND(SUM(J26,J71,J76),0),""),"")</f>
        <v/>
      </c>
      <c r="K78" s="149" t="str">
        <f>+IFERROR(IF(COUNT(K26,K71,K76),ROUND(SUM(K26,K71,K76),0),""),"")</f>
        <v/>
      </c>
      <c r="L78" s="149">
        <f>+IFERROR(IF(COUNT(L26,L71,L76),ROUND(SUM(L26,L71,L76),0),""),"")</f>
        <v>138359610</v>
      </c>
      <c r="M78" s="175">
        <f>+IFERROR(IF(COUNT(L78),ROUND(L78/'Shareholding Pattern'!$L$78*100,2),""),0)</f>
        <v>100</v>
      </c>
      <c r="N78" s="153">
        <f>+IFERROR(IF(COUNT(N26,N71,N76),ROUND(SUM(N26,N71,N76),0),""),"")</f>
        <v>138359610</v>
      </c>
      <c r="O78" s="153" t="str">
        <f>+IFERROR(IF(COUNT(O26,O71,O76),ROUND(SUM(O26,O71,O76),0),""),"")</f>
        <v/>
      </c>
      <c r="P78" s="149">
        <f>+IFERROR(IF(COUNT(P26,P71,P76),ROUND(SUM(P26,P71,P76),0),""),"")</f>
        <v>138359610</v>
      </c>
      <c r="Q78" s="176">
        <f>+IFERROR(IF(COUNT(P78),ROUND(P78/'Shareholding Pattern'!$P$79*100,2),""),0)</f>
        <v>100</v>
      </c>
      <c r="R78" s="149">
        <f>+IFERROR(IF(COUNT(R26,R71,R76),ROUND(SUM(R26,R71,R76),0),""),"")</f>
        <v>3610533</v>
      </c>
      <c r="S78" s="149">
        <f>+IFERROR(IF(COUNT(S26,S71,S76),ROUND(SUM(S26,S71,S76),0),""),"")</f>
        <v>6105291</v>
      </c>
      <c r="T78" s="149">
        <f>+IFERROR(IF(COUNT(T26,T71,T76),ROUND(SUM(T26,T71,T76),0),""),"")</f>
        <v>9715824</v>
      </c>
      <c r="U78" s="152">
        <f>+IFERROR(IF(COUNT(L78,T78),ROUND(SUM(L78,T78)/SUM('Shareholding Pattern'!$L$78,'Shareholding Pattern'!$T$78)*100,2),""),0)</f>
        <v>100</v>
      </c>
      <c r="V78" s="149">
        <f>+IFERROR(IF(COUNT(V26,V71,V76),ROUND(SUM(V26,V71,V76),0),""),"")</f>
        <v>4090257</v>
      </c>
      <c r="W78" s="182">
        <f t="shared" si="57"/>
        <v>2.96</v>
      </c>
      <c r="X78" s="590"/>
      <c r="Y78" s="591"/>
      <c r="Z78" s="149">
        <f>+IFERROR(IF(COUNT(Z26,Z71,Z76),ROUND(SUM(Z26,Z71,Z76),0),""),"")</f>
        <v>138351110</v>
      </c>
      <c r="AA78" s="149">
        <f t="shared" ref="AA78:AC78" si="59">+IFERROR(IF(COUNT(AA26,AA71,AA76),ROUND(SUM(AA26,AA71,AA76),0),""),"")</f>
        <v>0</v>
      </c>
      <c r="AB78" s="149">
        <f t="shared" si="59"/>
        <v>0</v>
      </c>
      <c r="AC78" s="149">
        <f t="shared" si="59"/>
        <v>0</v>
      </c>
    </row>
    <row r="79" spans="5:58" ht="22.5" customHeight="1">
      <c r="E79" s="572" t="s">
        <v>69</v>
      </c>
      <c r="F79" s="572"/>
      <c r="G79" s="572"/>
      <c r="H79" s="149">
        <f>+IFERROR(IF(COUNT(H26,H71,H77),ROUND(SUM(H26,H71,H77),0),""),"")</f>
        <v>5541</v>
      </c>
      <c r="I79" s="149">
        <f>+IFERROR(IF(COUNT(I26,I71,I77),ROUND(SUM(I26,I71,I77),0),""),"")</f>
        <v>138359610</v>
      </c>
      <c r="J79" s="149" t="str">
        <f>+IFERROR(IF(COUNT(J26,J71,J77),ROUND(SUM(J26,J71,J77),0),""),"")</f>
        <v/>
      </c>
      <c r="K79" s="149" t="str">
        <f>+IFERROR(IF(COUNT(K26,K71,K77),ROUND(SUM(K26,K71,K77),0),""),"")</f>
        <v/>
      </c>
      <c r="L79" s="149">
        <f>+IFERROR(IF(COUNT(L26,L71,L77),ROUND(SUM(L26,L71,L77),0),""),"")</f>
        <v>138359610</v>
      </c>
      <c r="M79" s="273">
        <f>+IFERROR(IF(COUNT(L78),ROUND(L78/'Shareholding Pattern'!$L$78*100,2),""),"")</f>
        <v>100</v>
      </c>
      <c r="N79" s="153">
        <f>+IFERROR(IF(COUNT(N26,N71,N77),ROUND(SUM(N26,N71,N77),0),""),"")</f>
        <v>138359610</v>
      </c>
      <c r="O79" s="153" t="str">
        <f>+IFERROR(IF(COUNT(O26,O71,O77),ROUND(SUM(O26,O71,O77),0),""),"")</f>
        <v/>
      </c>
      <c r="P79" s="149">
        <f>+IFERROR(IF(COUNT(P26,P71,P77),ROUND(SUM(P26,P71,P77),0),""),"")</f>
        <v>138359610</v>
      </c>
      <c r="Q79" s="176">
        <f>+IFERROR(IF(COUNT(P79),ROUND(P79/'Shareholding Pattern'!$P$79*100,2),""),"")</f>
        <v>100</v>
      </c>
      <c r="R79" s="149">
        <f>+IFERROR(IF(COUNT(R26,R71,R77),ROUND(SUM(R26,R71,R77),0),""),"")</f>
        <v>3610533</v>
      </c>
      <c r="S79" s="149">
        <f>+IFERROR(IF(COUNT(S26,S71,S77),ROUND(SUM(S26,S71,S77),0),""),"")</f>
        <v>6105291</v>
      </c>
      <c r="T79" s="149">
        <f>+IFERROR(IF(COUNT(T26,T71,T77),ROUND(SUM(T26,T71,T77),0),""),"")</f>
        <v>9715824</v>
      </c>
      <c r="U79" s="274">
        <f>+IFERROR(IF(COUNT(U26,U71,U77),ROUND(SUM(U26,U71,U77),0),""),"")</f>
        <v>100</v>
      </c>
      <c r="V79" s="149">
        <f>+IFERROR(IF(COUNT(V26,V71,V77),ROUND(SUM(V26,V71,V77),0),""),"")</f>
        <v>4090257</v>
      </c>
      <c r="W79" s="182">
        <f t="shared" si="57"/>
        <v>2.96</v>
      </c>
      <c r="X79" s="149" t="str">
        <f>+IFERROR(IF(COUNT(X26,X71,X77),ROUND(SUM(X26,X71,X77),0),""),"")</f>
        <v/>
      </c>
      <c r="Y79" s="182" t="str">
        <f>+IFERROR(IF(COUNT(X79),ROUND(SUM(X79)/SUM(L79)*100,2),""),0)</f>
        <v/>
      </c>
      <c r="Z79" s="149">
        <f>+IFERROR(IF(COUNT(Z26,Z71,Z77),ROUND(SUM(Z26,Z71,Z77),0),""),"")</f>
        <v>138351110</v>
      </c>
      <c r="AA79" s="149">
        <f t="shared" ref="AA79:AC79" si="60">+IFERROR(IF(COUNT(AA26,AA71,AA77),ROUND(SUM(AA26,AA71,AA77),0),""),"")</f>
        <v>0</v>
      </c>
      <c r="AB79" s="149">
        <f t="shared" si="60"/>
        <v>0</v>
      </c>
      <c r="AC79" s="149">
        <f t="shared" si="60"/>
        <v>0</v>
      </c>
      <c r="AR79" t="s">
        <v>191</v>
      </c>
    </row>
    <row r="80" spans="5:58" ht="35.1" customHeight="1">
      <c r="E80" s="544" t="s">
        <v>165</v>
      </c>
      <c r="F80" s="545"/>
      <c r="G80" s="545"/>
      <c r="H80" s="545"/>
      <c r="I80" s="545"/>
      <c r="J80" s="545"/>
      <c r="K80" s="545"/>
      <c r="L80" s="545"/>
      <c r="M80" s="546"/>
      <c r="N80" s="542"/>
      <c r="O80" s="543"/>
      <c r="P80" s="342"/>
      <c r="Q80" s="245"/>
      <c r="R80" s="340"/>
      <c r="S80" s="340"/>
      <c r="T80" s="340"/>
      <c r="U80" s="245"/>
      <c r="V80" s="245"/>
      <c r="W80" s="245"/>
      <c r="X80" s="556"/>
      <c r="Y80" s="556"/>
      <c r="Z80" s="556"/>
      <c r="AA80" s="556"/>
      <c r="AB80" s="556"/>
      <c r="AC80" s="557"/>
    </row>
    <row r="81" spans="5:29" ht="35.1" customHeight="1">
      <c r="E81" s="544" t="s">
        <v>529</v>
      </c>
      <c r="F81" s="545"/>
      <c r="G81" s="545"/>
      <c r="H81" s="545"/>
      <c r="I81" s="545"/>
      <c r="J81" s="545"/>
      <c r="K81" s="545"/>
      <c r="L81" s="545"/>
      <c r="M81" s="546"/>
      <c r="N81" s="576"/>
      <c r="O81" s="543"/>
      <c r="P81" s="342"/>
      <c r="Q81" s="245"/>
      <c r="R81" s="340"/>
      <c r="S81" s="340"/>
      <c r="T81" s="340"/>
      <c r="U81" s="245"/>
      <c r="V81" s="245"/>
      <c r="W81" s="245"/>
      <c r="X81" s="556"/>
      <c r="Y81" s="556"/>
      <c r="Z81" s="556"/>
      <c r="AA81" s="556"/>
      <c r="AB81" s="556"/>
      <c r="AC81" s="557"/>
    </row>
    <row r="82" spans="5:29" ht="35.1" customHeight="1">
      <c r="E82" s="544" t="s">
        <v>530</v>
      </c>
      <c r="F82" s="545"/>
      <c r="G82" s="545"/>
      <c r="H82" s="545"/>
      <c r="I82" s="545"/>
      <c r="J82" s="545"/>
      <c r="K82" s="545"/>
      <c r="L82" s="545"/>
      <c r="M82" s="546"/>
      <c r="N82" s="576"/>
      <c r="O82" s="543"/>
      <c r="P82" s="342"/>
      <c r="Q82" s="245"/>
      <c r="R82" s="340"/>
      <c r="S82" s="340"/>
      <c r="T82" s="340"/>
      <c r="U82" s="245"/>
      <c r="V82" s="245"/>
      <c r="W82" s="245"/>
      <c r="X82" s="556"/>
      <c r="Y82" s="556"/>
      <c r="Z82" s="556"/>
      <c r="AA82" s="556"/>
      <c r="AB82" s="556"/>
      <c r="AC82" s="557"/>
    </row>
    <row r="83" spans="5:29" ht="35.1" customHeight="1">
      <c r="E83" s="544" t="s">
        <v>531</v>
      </c>
      <c r="F83" s="545"/>
      <c r="G83" s="545"/>
      <c r="H83" s="545"/>
      <c r="I83" s="545"/>
      <c r="J83" s="545"/>
      <c r="K83" s="545"/>
      <c r="L83" s="545"/>
      <c r="M83" s="546"/>
      <c r="N83" s="542"/>
      <c r="O83" s="543"/>
      <c r="P83" s="342"/>
      <c r="Q83" s="245"/>
      <c r="R83" s="340"/>
      <c r="S83" s="340"/>
      <c r="T83" s="340"/>
      <c r="U83" s="245"/>
      <c r="V83" s="245"/>
      <c r="W83" s="245"/>
      <c r="X83" s="556"/>
      <c r="Y83" s="556"/>
      <c r="Z83" s="556"/>
      <c r="AA83" s="556"/>
      <c r="AB83" s="556"/>
      <c r="AC83" s="557"/>
    </row>
  </sheetData>
  <sheetProtection algorithmName="SHA-512" hashValue="JL7wt4CFZ9u3CD2EkXF5Y7IVWz0b4md8pN4hdsCTUnYQWKZmK3wGae/a5Fj+d0X5fpX0pqNyYBGW1zmiA4nvcw==" saltValue="XYj+GxIxuVmNP0no/wbaGg==" spinCount="100000" sheet="1" objects="1" scenarios="1"/>
  <mergeCells count="58">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 ref="X30:Y41"/>
    <mergeCell ref="Z9:Z11"/>
    <mergeCell ref="X81:Z81"/>
    <mergeCell ref="S9:S11"/>
    <mergeCell ref="X75:Y78"/>
    <mergeCell ref="V9:W10"/>
    <mergeCell ref="X9:Y10"/>
    <mergeCell ref="U9:U11"/>
    <mergeCell ref="T9:T11"/>
    <mergeCell ref="X80:Z80"/>
    <mergeCell ref="X43:Y50"/>
    <mergeCell ref="X52:Y71"/>
    <mergeCell ref="X82:Z82"/>
    <mergeCell ref="X83:Z83"/>
    <mergeCell ref="E81:M81"/>
    <mergeCell ref="E82:M82"/>
    <mergeCell ref="E83:M83"/>
    <mergeCell ref="N81:O81"/>
    <mergeCell ref="N82:O82"/>
    <mergeCell ref="N83:O83"/>
    <mergeCell ref="F9:G11"/>
    <mergeCell ref="E78:G78"/>
    <mergeCell ref="J9:J11"/>
    <mergeCell ref="E70:G70"/>
    <mergeCell ref="E79:G79"/>
    <mergeCell ref="E9:E11"/>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D7" zoomScale="85" zoomScaleNormal="85" workbookViewId="0">
      <selection activeCell="R15" sqref="R15"/>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7109375" customWidth="1"/>
    <col min="29" max="16383" width="4.8554687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609" t="s">
        <v>119</v>
      </c>
      <c r="F9" s="609" t="s">
        <v>118</v>
      </c>
      <c r="G9" s="612" t="s">
        <v>1</v>
      </c>
      <c r="H9" s="612" t="s">
        <v>3</v>
      </c>
      <c r="I9" s="612" t="s">
        <v>4</v>
      </c>
      <c r="J9" s="612" t="s">
        <v>5</v>
      </c>
      <c r="K9" s="612" t="s">
        <v>6</v>
      </c>
      <c r="L9" s="612" t="s">
        <v>7</v>
      </c>
      <c r="M9" s="613" t="s">
        <v>8</v>
      </c>
      <c r="N9" s="614"/>
      <c r="O9" s="614"/>
      <c r="P9" s="615"/>
      <c r="Q9" s="612" t="s">
        <v>9</v>
      </c>
      <c r="R9" s="612" t="s">
        <v>447</v>
      </c>
      <c r="S9" s="612" t="s">
        <v>116</v>
      </c>
      <c r="T9" s="609" t="s">
        <v>125</v>
      </c>
      <c r="U9" s="566" t="s">
        <v>12</v>
      </c>
      <c r="V9" s="567"/>
      <c r="W9" s="566" t="s">
        <v>13</v>
      </c>
      <c r="X9" s="567"/>
      <c r="Y9" s="612" t="s">
        <v>14</v>
      </c>
      <c r="Z9" s="524" t="s">
        <v>441</v>
      </c>
      <c r="AA9" s="612" t="s">
        <v>459</v>
      </c>
    </row>
    <row r="10" spans="5:45" ht="31.5" customHeight="1">
      <c r="E10" s="610"/>
      <c r="F10" s="574"/>
      <c r="G10" s="610"/>
      <c r="H10" s="610"/>
      <c r="I10" s="610"/>
      <c r="J10" s="610"/>
      <c r="K10" s="610"/>
      <c r="L10" s="610"/>
      <c r="M10" s="521" t="s">
        <v>117</v>
      </c>
      <c r="N10" s="539"/>
      <c r="O10" s="540"/>
      <c r="P10" s="612" t="s">
        <v>16</v>
      </c>
      <c r="Q10" s="610"/>
      <c r="R10" s="610"/>
      <c r="S10" s="610"/>
      <c r="T10" s="610"/>
      <c r="U10" s="570"/>
      <c r="V10" s="571"/>
      <c r="W10" s="570"/>
      <c r="X10" s="571"/>
      <c r="Y10" s="610"/>
      <c r="Z10" s="564"/>
      <c r="AA10" s="610"/>
    </row>
    <row r="11" spans="5:45" ht="78.75" customHeight="1">
      <c r="E11" s="611"/>
      <c r="F11" s="575"/>
      <c r="G11" s="611"/>
      <c r="H11" s="611"/>
      <c r="I11" s="611"/>
      <c r="J11" s="611"/>
      <c r="K11" s="611"/>
      <c r="L11" s="611"/>
      <c r="M11" s="33" t="s">
        <v>123</v>
      </c>
      <c r="N11" s="33" t="s">
        <v>18</v>
      </c>
      <c r="O11" s="32" t="s">
        <v>19</v>
      </c>
      <c r="P11" s="611"/>
      <c r="Q11" s="611"/>
      <c r="R11" s="611"/>
      <c r="S11" s="611"/>
      <c r="T11" s="611"/>
      <c r="U11" s="32" t="s">
        <v>20</v>
      </c>
      <c r="V11" s="32" t="s">
        <v>21</v>
      </c>
      <c r="W11" s="32" t="s">
        <v>20</v>
      </c>
      <c r="X11" s="32" t="s">
        <v>21</v>
      </c>
      <c r="Y11" s="611"/>
      <c r="Z11" s="564"/>
      <c r="AA11" s="611"/>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f>IF(COUNT(H17:$Y$15002)=0,"",SUM(AC1:AC65534))</f>
        <v>2</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1">
        <v>1</v>
      </c>
      <c r="F15" s="447" t="s">
        <v>871</v>
      </c>
      <c r="G15" s="448" t="s">
        <v>872</v>
      </c>
      <c r="H15" s="47">
        <v>24904116</v>
      </c>
      <c r="I15" s="47"/>
      <c r="J15" s="47"/>
      <c r="K15" s="446">
        <f>+IFERROR(IF(COUNT(H15:J15),ROUND(SUM(H15:J15),0),""),"")</f>
        <v>24904116</v>
      </c>
      <c r="L15" s="51">
        <f>+IFERROR(IF(COUNT(K15),ROUND(K15/'Shareholding Pattern'!$L$78*100,2),""),0)</f>
        <v>18</v>
      </c>
      <c r="M15" s="203">
        <v>24904116</v>
      </c>
      <c r="N15" s="203"/>
      <c r="O15" s="266">
        <f>+IFERROR(IF(COUNT(M15:N15),ROUND(SUM(M15,N15),2),""),"")</f>
        <v>24904116</v>
      </c>
      <c r="P15" s="51">
        <f>+IFERROR(IF(COUNT(O15),ROUND(O15/('Shareholding Pattern'!$P$79)*100,2),""),0)</f>
        <v>18</v>
      </c>
      <c r="Q15" s="47">
        <v>0</v>
      </c>
      <c r="R15" s="47">
        <v>0</v>
      </c>
      <c r="S15" s="446">
        <f>+IFERROR(IF(COUNT(Q15:R15),ROUND(SUM(Q15:R15),0),""),"")</f>
        <v>0</v>
      </c>
      <c r="T15" s="51">
        <f>+IFERROR(IF(COUNT(K15,S15),ROUND(SUM(S15,K15)/SUM('Shareholding Pattern'!$L$78,'Shareholding Pattern'!$T$78)*100,2),""),0)</f>
        <v>16.82</v>
      </c>
      <c r="U15" s="47">
        <v>0</v>
      </c>
      <c r="V15" s="266">
        <f>+IFERROR(IF(COUNT(U15),ROUND(SUM(U15)/SUM(K15)*100,2),""),0)</f>
        <v>0</v>
      </c>
      <c r="W15" s="47"/>
      <c r="X15" s="17" t="str">
        <f>+IFERROR(IF(COUNT(W15),ROUND(SUM(W15)/SUM(K15)*100,2),""),0)</f>
        <v/>
      </c>
      <c r="Y15" s="47">
        <v>24904116</v>
      </c>
      <c r="Z15" s="265"/>
      <c r="AA15" s="315" t="s">
        <v>461</v>
      </c>
      <c r="AB15" s="11"/>
      <c r="AC15" s="11">
        <f>IF(SUM(H15:Y15)&gt;0,1,0)</f>
        <v>1</v>
      </c>
    </row>
    <row r="16" spans="5:45" ht="24.75" customHeight="1">
      <c r="E16" s="191">
        <v>2</v>
      </c>
      <c r="F16" s="447" t="s">
        <v>873</v>
      </c>
      <c r="G16" s="448" t="s">
        <v>874</v>
      </c>
      <c r="H16" s="47">
        <v>13095000</v>
      </c>
      <c r="I16" s="47"/>
      <c r="J16" s="47"/>
      <c r="K16" s="446">
        <f>+IFERROR(IF(COUNT(H16:J16),ROUND(SUM(H16:J16),0),""),"")</f>
        <v>13095000</v>
      </c>
      <c r="L16" s="51">
        <f>+IFERROR(IF(COUNT(K16),ROUND(K16/'Shareholding Pattern'!$L$78*100,2),""),0)</f>
        <v>9.4600000000000009</v>
      </c>
      <c r="M16" s="203">
        <v>13095000</v>
      </c>
      <c r="N16" s="203"/>
      <c r="O16" s="266">
        <f>+IFERROR(IF(COUNT(M16:N16),ROUND(SUM(M16,N16),2),""),"")</f>
        <v>13095000</v>
      </c>
      <c r="P16" s="51">
        <f>+IFERROR(IF(COUNT(O16),ROUND(O16/('Shareholding Pattern'!$P$79)*100,2),""),0)</f>
        <v>9.4600000000000009</v>
      </c>
      <c r="Q16" s="47">
        <v>0</v>
      </c>
      <c r="R16" s="47">
        <v>0</v>
      </c>
      <c r="S16" s="446">
        <f>+IFERROR(IF(COUNT(Q16:R16),ROUND(SUM(Q16:R16),0),""),"")</f>
        <v>0</v>
      </c>
      <c r="T16" s="51">
        <f>+IFERROR(IF(COUNT(K16,S16),ROUND(SUM(S16,K16)/SUM('Shareholding Pattern'!$L$78,'Shareholding Pattern'!$T$78)*100,2),""),0)</f>
        <v>8.84</v>
      </c>
      <c r="U16" s="47">
        <v>0</v>
      </c>
      <c r="V16" s="266">
        <f>+IFERROR(IF(COUNT(U16),ROUND(SUM(U16)/SUM(K16)*100,2),""),0)</f>
        <v>0</v>
      </c>
      <c r="W16" s="47"/>
      <c r="X16" s="17" t="str">
        <f>+IFERROR(IF(COUNT(W16),ROUND(SUM(W16)/SUM(K16)*100,2),""),0)</f>
        <v/>
      </c>
      <c r="Y16" s="47">
        <v>13095000</v>
      </c>
      <c r="Z16" s="265"/>
      <c r="AA16" s="315" t="s">
        <v>461</v>
      </c>
      <c r="AB16" s="11"/>
      <c r="AC16" s="11">
        <f>IF(SUM(H16:Y16)&gt;0,1,0)</f>
        <v>1</v>
      </c>
    </row>
    <row r="17" spans="5:25" ht="16.5" hidden="1" customHeight="1">
      <c r="E17" s="192"/>
      <c r="F17" s="196"/>
      <c r="G17" s="196"/>
      <c r="H17" s="196"/>
      <c r="I17" s="196"/>
      <c r="J17" s="196"/>
      <c r="K17" s="196"/>
      <c r="L17" s="196"/>
      <c r="M17" s="196"/>
      <c r="N17" s="196"/>
      <c r="O17" s="196"/>
      <c r="P17" s="196"/>
      <c r="Q17" s="196"/>
      <c r="R17" s="196"/>
      <c r="S17" s="196"/>
      <c r="T17" s="196"/>
      <c r="U17" s="196"/>
      <c r="V17" s="196"/>
      <c r="W17" s="196"/>
      <c r="X17" s="196"/>
      <c r="Y17" s="197"/>
    </row>
    <row r="18" spans="5:25" ht="20.100000000000001" customHeight="1">
      <c r="E18" s="126"/>
      <c r="F18" s="62" t="s">
        <v>392</v>
      </c>
      <c r="G18" s="62" t="s">
        <v>19</v>
      </c>
      <c r="H18" s="53">
        <f>+IFERROR(IF(COUNT(H14:H17),ROUND(SUM(H14:H17),0),""),"")</f>
        <v>37999116</v>
      </c>
      <c r="I18" s="53" t="str">
        <f>+IFERROR(IF(COUNT(I14:I17),ROUND(SUM(I14:I17),0),""),"")</f>
        <v/>
      </c>
      <c r="J18" s="53" t="str">
        <f>+IFERROR(IF(COUNT(J14:J17),ROUND(SUM(J14:J17),0),""),"")</f>
        <v/>
      </c>
      <c r="K18" s="53">
        <f>+IFERROR(IF(COUNT(K14:K17),ROUND(SUM(K14:K17),0),""),"")</f>
        <v>37999116</v>
      </c>
      <c r="L18" s="17">
        <f>+IFERROR(IF(COUNT(K18),ROUND(K18/'Shareholding Pattern'!$L$78*100,2),""),0)</f>
        <v>27.46</v>
      </c>
      <c r="M18" s="35">
        <f>+IFERROR(IF(COUNT(M14:M17),ROUND(SUM(M14:M17),0),""),"")</f>
        <v>37999116</v>
      </c>
      <c r="N18" s="35" t="str">
        <f>+IFERROR(IF(COUNT(N14:N17),ROUND(SUM(N14:N17),0),""),"")</f>
        <v/>
      </c>
      <c r="O18" s="35">
        <f>+IFERROR(IF(COUNT(O14:O17),ROUND(SUM(O14:O17),0),""),"")</f>
        <v>37999116</v>
      </c>
      <c r="P18" s="17">
        <f>+IFERROR(IF(COUNT(O18),ROUND(O18/('Shareholding Pattern'!$P$79)*100,2),""),0)</f>
        <v>27.46</v>
      </c>
      <c r="Q18" s="53">
        <f>+IFERROR(IF(COUNT(Q14:Q17),ROUND(SUM(Q14:Q17),0),""),"")</f>
        <v>0</v>
      </c>
      <c r="R18" s="53">
        <f>+IFERROR(IF(COUNT(R14:R17),ROUND(SUM(R14:R17),0),""),"")</f>
        <v>0</v>
      </c>
      <c r="S18" s="53">
        <f>+IFERROR(IF(COUNT(S14:S17),ROUND(SUM(S14:S17),0),""),"")</f>
        <v>0</v>
      </c>
      <c r="T18" s="17">
        <f>+IFERROR(IF(COUNT(K18,S18),ROUND(SUM(S18,K18)/SUM('Shareholding Pattern'!$L$78,'Shareholding Pattern'!$T$78)*100,2),""),0)</f>
        <v>25.66</v>
      </c>
      <c r="U18" s="53">
        <f>+IFERROR(IF(COUNT(U14:U17),ROUND(SUM(U14:U17),0),""),"")</f>
        <v>0</v>
      </c>
      <c r="V18" s="17">
        <f>+IFERROR(IF(COUNT(U18),ROUND(SUM(U18)/SUM(K18)*100,2),""),0)</f>
        <v>0</v>
      </c>
      <c r="W18" s="53" t="str">
        <f>+IFERROR(IF(COUNT(W14:W17),ROUND(SUM(W14:W17),0),""),"")</f>
        <v/>
      </c>
      <c r="X18" s="17" t="str">
        <f>+IFERROR(IF(COUNT(W18),ROUND(SUM(W18)/SUM(K18)*100,2),""),0)</f>
        <v/>
      </c>
      <c r="Y18" s="53">
        <f>+IFERROR(IF(COUNT(Y14:Y17),ROUND(SUM(Y14:Y17),0),""),"")</f>
        <v>37999116</v>
      </c>
    </row>
  </sheetData>
  <sheetProtection algorithmName="SHA-512" hashValue="LnGVLqf3Uktl53VGlUjpipJZVOyoiViJU1YhzTGcixLVbA7iMyLxQNGDF9o1Z0FnUtepCZwwNl/OEPPO8Q/Sjg==" saltValue="WIReUwqWB9oDWoinaUqUCw=="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workbookViewId="0">
      <selection activeCell="V15" sqref="V15"/>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1</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21"/>
      <c r="G7" s="621"/>
      <c r="H7" s="621"/>
      <c r="I7" s="363"/>
      <c r="AA7" s="359" t="s">
        <v>605</v>
      </c>
    </row>
    <row r="8" spans="1:27">
      <c r="F8" s="622"/>
      <c r="G8" s="622"/>
      <c r="H8" s="622"/>
      <c r="I8" s="365"/>
      <c r="AA8" s="359" t="s">
        <v>606</v>
      </c>
    </row>
    <row r="9" spans="1:27" ht="60" customHeight="1">
      <c r="A9" s="7"/>
      <c r="E9" s="609" t="s">
        <v>114</v>
      </c>
      <c r="F9" s="521" t="s">
        <v>588</v>
      </c>
      <c r="G9" s="618"/>
      <c r="H9" s="618"/>
      <c r="I9" s="618"/>
      <c r="J9" s="618"/>
      <c r="K9" s="522"/>
      <c r="L9" s="521" t="s">
        <v>593</v>
      </c>
      <c r="M9" s="618"/>
      <c r="N9" s="618"/>
      <c r="O9" s="618"/>
      <c r="P9" s="522"/>
      <c r="Q9" s="620" t="s">
        <v>594</v>
      </c>
      <c r="R9" s="620"/>
      <c r="S9" s="620"/>
      <c r="T9" s="620"/>
      <c r="U9" s="620"/>
      <c r="V9" s="524" t="s">
        <v>626</v>
      </c>
      <c r="AA9" s="359" t="s">
        <v>607</v>
      </c>
    </row>
    <row r="10" spans="1:27" ht="14.25" customHeight="1">
      <c r="A10" s="7"/>
      <c r="E10" s="610"/>
      <c r="F10" s="524" t="s">
        <v>589</v>
      </c>
      <c r="G10" s="524" t="s">
        <v>590</v>
      </c>
      <c r="H10" s="619" t="s">
        <v>591</v>
      </c>
      <c r="I10" s="362"/>
      <c r="J10" s="524" t="s">
        <v>592</v>
      </c>
      <c r="K10" s="616" t="s">
        <v>612</v>
      </c>
      <c r="L10" s="524" t="s">
        <v>589</v>
      </c>
      <c r="M10" s="524" t="s">
        <v>590</v>
      </c>
      <c r="N10" s="619" t="s">
        <v>591</v>
      </c>
      <c r="O10" s="524" t="s">
        <v>592</v>
      </c>
      <c r="P10" s="616" t="s">
        <v>612</v>
      </c>
      <c r="Q10" s="524" t="s">
        <v>595</v>
      </c>
      <c r="R10" s="524"/>
      <c r="S10" s="524"/>
      <c r="T10" s="524"/>
      <c r="U10" s="524"/>
      <c r="V10" s="524"/>
      <c r="AA10" s="359" t="s">
        <v>608</v>
      </c>
    </row>
    <row r="11" spans="1:27" ht="47.25" customHeight="1">
      <c r="A11" s="7"/>
      <c r="E11" s="611"/>
      <c r="F11" s="524"/>
      <c r="G11" s="524"/>
      <c r="H11" s="619"/>
      <c r="I11" s="362"/>
      <c r="J11" s="524"/>
      <c r="K11" s="617"/>
      <c r="L11" s="524"/>
      <c r="M11" s="524"/>
      <c r="N11" s="619"/>
      <c r="O11" s="524"/>
      <c r="P11" s="617"/>
      <c r="Q11" s="354" t="s">
        <v>596</v>
      </c>
      <c r="R11" s="354" t="s">
        <v>597</v>
      </c>
      <c r="S11" s="367" t="s">
        <v>628</v>
      </c>
      <c r="T11" s="354" t="s">
        <v>598</v>
      </c>
      <c r="U11" s="354" t="s">
        <v>629</v>
      </c>
      <c r="V11" s="524"/>
      <c r="AA11" s="359" t="s">
        <v>609</v>
      </c>
    </row>
    <row r="12" spans="1:27">
      <c r="E12" s="357"/>
      <c r="F12" s="624" t="s">
        <v>610</v>
      </c>
      <c r="G12" s="624"/>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23"/>
      <c r="G14" s="623"/>
      <c r="H14" s="623"/>
      <c r="I14" s="364"/>
      <c r="J14" s="55"/>
      <c r="K14" s="55"/>
      <c r="L14" s="55"/>
      <c r="M14" s="55"/>
      <c r="N14" s="55"/>
      <c r="O14" s="55"/>
      <c r="P14" s="55"/>
      <c r="Q14" s="55"/>
      <c r="R14" s="55"/>
      <c r="S14" s="55"/>
      <c r="T14" s="55"/>
      <c r="U14" s="55"/>
      <c r="V14" s="194"/>
    </row>
    <row r="15" spans="1:27" ht="24.75" customHeight="1">
      <c r="E15" s="54">
        <v>1</v>
      </c>
      <c r="F15" s="447" t="s">
        <v>889</v>
      </c>
      <c r="G15" s="447" t="s">
        <v>872</v>
      </c>
      <c r="H15" s="242"/>
      <c r="I15" s="366"/>
      <c r="J15" s="451" t="s">
        <v>601</v>
      </c>
      <c r="K15" s="450"/>
      <c r="L15" s="447" t="s">
        <v>867</v>
      </c>
      <c r="M15" s="447" t="s">
        <v>868</v>
      </c>
      <c r="N15" s="242"/>
      <c r="O15" s="452" t="s">
        <v>601</v>
      </c>
      <c r="P15" s="450"/>
      <c r="Q15" s="449">
        <v>20.18</v>
      </c>
      <c r="R15" s="449">
        <v>20.18</v>
      </c>
      <c r="S15" s="449">
        <v>20.18</v>
      </c>
      <c r="T15" s="453" t="s">
        <v>93</v>
      </c>
      <c r="U15" s="453" t="s">
        <v>93</v>
      </c>
      <c r="V15" s="454" t="s">
        <v>890</v>
      </c>
    </row>
  </sheetData>
  <sheetProtection algorithmName="SHA-512" hashValue="2ix7ppbb8dHA87zTQV1CuJ34Rrrwt+SHIldCX1YtrOMEjpDw1j/KczRIv1G2gvCTVmKADQWyn1sc0FhAKoocHg==" saltValue="IilQ1OSeXzDp0xqDnVnWCQ==" spinCount="100000"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O15 J15">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42578125" customWidth="1"/>
    <col min="29" max="16383" width="1.8554687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09" t="s">
        <v>124</v>
      </c>
      <c r="T9" s="564" t="s">
        <v>89</v>
      </c>
      <c r="U9" s="564" t="s">
        <v>12</v>
      </c>
      <c r="V9" s="564"/>
      <c r="W9" s="564" t="s">
        <v>13</v>
      </c>
      <c r="X9" s="564"/>
      <c r="Y9" s="564" t="s">
        <v>14</v>
      </c>
      <c r="Z9" s="524" t="s">
        <v>441</v>
      </c>
      <c r="AA9" s="612" t="s">
        <v>459</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5:45" ht="78.75" customHeight="1">
      <c r="E11" s="611"/>
      <c r="F11" s="564"/>
      <c r="G11" s="564"/>
      <c r="H11" s="564"/>
      <c r="I11" s="564"/>
      <c r="J11" s="564"/>
      <c r="K11" s="564"/>
      <c r="L11" s="564"/>
      <c r="M11" s="32" t="s">
        <v>17</v>
      </c>
      <c r="N11" s="32" t="s">
        <v>18</v>
      </c>
      <c r="O11" s="32" t="s">
        <v>19</v>
      </c>
      <c r="P11" s="564"/>
      <c r="Q11" s="564"/>
      <c r="R11" s="611"/>
      <c r="S11" s="611"/>
      <c r="T11" s="564"/>
      <c r="U11" s="32" t="s">
        <v>20</v>
      </c>
      <c r="V11" s="41" t="s">
        <v>21</v>
      </c>
      <c r="W11" s="32" t="s">
        <v>20</v>
      </c>
      <c r="X11" s="32" t="s">
        <v>21</v>
      </c>
      <c r="Y11" s="564"/>
      <c r="Z11" s="564"/>
      <c r="AA11" s="611"/>
    </row>
    <row r="12" spans="5:45" s="281" customFormat="1" ht="19.5" customHeight="1">
      <c r="E12" s="9" t="s">
        <v>72</v>
      </c>
      <c r="F12" s="625" t="s">
        <v>29</v>
      </c>
      <c r="G12" s="626"/>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4.9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00000000000001"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3uBWpGS+RbbZJ6Neeb86eUkq5z7JZD9vLjKKclEvE9eVVlgNWz3B9Q5faNPSRNBJZ1NiGhIyQlF39znhnZ3R9A==" saltValue="U+9ikk01N9SvbMrDdGZ/3Q==" spinCount="100000"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140625" customWidth="1"/>
    <col min="29" max="16383" width="1.85546875" hidden="1"/>
    <col min="16384" max="16384" width="5.1406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c r="AR9" t="s">
        <v>337</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338</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YOEYbJzYV8DCapuRKdaGDycO8hsPmTytZAMDNYGdWwOugRQL2BbsVuJ3EVmWJUGYw+NQOmNIvNlPRRiJPxwVPQ==" saltValue="SZ02DblfwAGhYKeJ4Lg+QA==" spinCount="100000"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9"/>
  <sheetViews>
    <sheetView showGridLines="0" topLeftCell="E7" zoomScale="85" zoomScaleNormal="85" workbookViewId="0">
      <selection activeCell="T25" sqref="T25"/>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20.7109375" customWidth="1"/>
    <col min="11" max="12" width="20.7109375" hidden="1" customWidth="1"/>
    <col min="13" max="15" width="20.7109375" customWidth="1"/>
    <col min="16" max="16" width="20.7109375" hidden="1" customWidth="1"/>
    <col min="17" max="24" width="20.7109375" customWidth="1"/>
    <col min="25" max="26" width="20.7109375" hidden="1" customWidth="1"/>
    <col min="27" max="28" width="20.7109375" customWidth="1"/>
    <col min="29" max="29" width="20.7109375" style="272" customWidth="1"/>
    <col min="30" max="30" width="3" style="272" customWidth="1"/>
    <col min="31" max="16383" width="1" hidden="1"/>
    <col min="16384" max="16384" width="2.28515625" hidden="1" customWidth="1"/>
  </cols>
  <sheetData>
    <row r="1" spans="4:53" hidden="1">
      <c r="I1">
        <v>3</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612" t="s">
        <v>119</v>
      </c>
      <c r="E9" s="564" t="s">
        <v>34</v>
      </c>
      <c r="F9" s="564"/>
      <c r="G9" s="612" t="s">
        <v>118</v>
      </c>
      <c r="H9" s="564" t="s">
        <v>1</v>
      </c>
      <c r="I9" s="524" t="s">
        <v>368</v>
      </c>
      <c r="J9" s="564" t="s">
        <v>3</v>
      </c>
      <c r="K9" s="564" t="s">
        <v>4</v>
      </c>
      <c r="L9" s="564" t="s">
        <v>5</v>
      </c>
      <c r="M9" s="564" t="s">
        <v>6</v>
      </c>
      <c r="N9" s="564" t="s">
        <v>7</v>
      </c>
      <c r="O9" s="564" t="s">
        <v>8</v>
      </c>
      <c r="P9" s="564"/>
      <c r="Q9" s="564"/>
      <c r="R9" s="564"/>
      <c r="S9" s="564" t="s">
        <v>9</v>
      </c>
      <c r="T9" s="612" t="s">
        <v>447</v>
      </c>
      <c r="U9" s="612" t="s">
        <v>116</v>
      </c>
      <c r="V9" s="564" t="s">
        <v>89</v>
      </c>
      <c r="W9" s="564" t="s">
        <v>12</v>
      </c>
      <c r="X9" s="564"/>
      <c r="Y9" s="564" t="s">
        <v>13</v>
      </c>
      <c r="Z9" s="564"/>
      <c r="AA9" s="564" t="s">
        <v>14</v>
      </c>
      <c r="AB9" s="524" t="s">
        <v>441</v>
      </c>
      <c r="AC9" s="612" t="s">
        <v>459</v>
      </c>
      <c r="AD9"/>
      <c r="AR9" s="7"/>
      <c r="AV9" t="s">
        <v>34</v>
      </c>
    </row>
    <row r="10" spans="4:53" ht="31.5" customHeight="1">
      <c r="D10" s="610"/>
      <c r="E10" s="564"/>
      <c r="F10" s="564"/>
      <c r="G10" s="610"/>
      <c r="H10" s="564"/>
      <c r="I10" s="564"/>
      <c r="J10" s="564"/>
      <c r="K10" s="564"/>
      <c r="L10" s="564"/>
      <c r="M10" s="564"/>
      <c r="N10" s="564"/>
      <c r="O10" s="564" t="s">
        <v>15</v>
      </c>
      <c r="P10" s="564"/>
      <c r="Q10" s="564"/>
      <c r="R10" s="564" t="s">
        <v>16</v>
      </c>
      <c r="S10" s="564"/>
      <c r="T10" s="610"/>
      <c r="U10" s="610"/>
      <c r="V10" s="564"/>
      <c r="W10" s="564"/>
      <c r="X10" s="564"/>
      <c r="Y10" s="564"/>
      <c r="Z10" s="564"/>
      <c r="AA10" s="564"/>
      <c r="AB10" s="564"/>
      <c r="AC10" s="610"/>
      <c r="AD10"/>
      <c r="AR10" s="7"/>
      <c r="AV10" t="s">
        <v>379</v>
      </c>
    </row>
    <row r="11" spans="4:53" ht="78.75" customHeight="1">
      <c r="D11" s="611"/>
      <c r="E11" s="564"/>
      <c r="F11" s="564"/>
      <c r="G11" s="611"/>
      <c r="H11" s="564"/>
      <c r="I11" s="564"/>
      <c r="J11" s="564"/>
      <c r="K11" s="564"/>
      <c r="L11" s="564"/>
      <c r="M11" s="564"/>
      <c r="N11" s="564"/>
      <c r="O11" s="40" t="s">
        <v>17</v>
      </c>
      <c r="P11" s="40" t="s">
        <v>18</v>
      </c>
      <c r="Q11" s="40" t="s">
        <v>19</v>
      </c>
      <c r="R11" s="564"/>
      <c r="S11" s="564"/>
      <c r="T11" s="611"/>
      <c r="U11" s="611"/>
      <c r="V11" s="564"/>
      <c r="W11" s="40" t="s">
        <v>20</v>
      </c>
      <c r="X11" s="40" t="s">
        <v>21</v>
      </c>
      <c r="Y11" s="40" t="s">
        <v>20</v>
      </c>
      <c r="Z11" s="40" t="s">
        <v>21</v>
      </c>
      <c r="AA11" s="564"/>
      <c r="AB11" s="564"/>
      <c r="AC11" s="611"/>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f>IF(COUNT(H18:$AA$15002)=0,"",SUM(AC1:AC65536))</f>
        <v>0</v>
      </c>
      <c r="AF13" s="352">
        <f>IF(SUM(I13:AA13)&gt;0,1,0)</f>
        <v>0</v>
      </c>
      <c r="AG13" s="352">
        <f>IF(COUNT(H18:$AA$14996)=0,"",SUM(AF1:AF65530))</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1">
        <v>1</v>
      </c>
      <c r="E15" s="455" t="s">
        <v>440</v>
      </c>
      <c r="F15" s="456"/>
      <c r="G15" s="456" t="s">
        <v>867</v>
      </c>
      <c r="H15" s="47" t="s">
        <v>868</v>
      </c>
      <c r="I15" s="47">
        <v>1</v>
      </c>
      <c r="J15" s="47">
        <v>28754997</v>
      </c>
      <c r="K15" s="47"/>
      <c r="L15" s="47"/>
      <c r="M15" s="457">
        <f>+IFERROR(IF(COUNT(J15:L15),ROUND(SUM(J15:L15),0),""),"")</f>
        <v>28754997</v>
      </c>
      <c r="N15" s="222">
        <f>+IFERROR(IF(COUNT(M15),ROUND(M15/'Shareholding Pattern'!$L$78*100,2),""),0)</f>
        <v>20.78</v>
      </c>
      <c r="O15" s="203">
        <v>28754997</v>
      </c>
      <c r="P15" s="203"/>
      <c r="Q15" s="183">
        <f>+IFERROR(IF(COUNT(O15:P15),ROUND(SUM(O15,P15),2),""),"")</f>
        <v>28754997</v>
      </c>
      <c r="R15" s="222">
        <f>+IFERROR(IF(COUNT(Q15),ROUND(Q15/('Shareholding Pattern'!$P$79)*100,2),""),0)</f>
        <v>20.78</v>
      </c>
      <c r="S15" s="47">
        <v>0</v>
      </c>
      <c r="T15" s="47">
        <v>0</v>
      </c>
      <c r="U15" s="457">
        <f>+IFERROR(IF(COUNT(S15:T15),ROUND(SUM(S15:T15),0),""),"")</f>
        <v>0</v>
      </c>
      <c r="V15" s="222">
        <f>+IFERROR(IF(COUNT(M15,U15),ROUND(SUM(U15,M15)/SUM('Shareholding Pattern'!$L$78,'Shareholding Pattern'!$T$78)*100,2),""),0)</f>
        <v>19.420000000000002</v>
      </c>
      <c r="W15" s="47">
        <v>2810226</v>
      </c>
      <c r="X15" s="183">
        <f>+IFERROR(IF(COUNT(W15),ROUND(SUM(W15)/SUM(M15)*100,2),""),0)</f>
        <v>9.77</v>
      </c>
      <c r="Y15" s="47"/>
      <c r="Z15" s="221" t="str">
        <f>+IFERROR(IF(COUNT(Y15),ROUND(SUM(Y15)/SUM(M15)*100,2),""),0)</f>
        <v/>
      </c>
      <c r="AA15" s="458">
        <v>28754997</v>
      </c>
      <c r="AB15" s="265"/>
      <c r="AC15" s="315" t="s">
        <v>462</v>
      </c>
      <c r="AD15" s="271" t="str">
        <f>IF(COUNT(H20:$AA$15002)=0,"",SUM(AC3:AC65538))</f>
        <v/>
      </c>
      <c r="AE15" s="11"/>
      <c r="AF15" s="352">
        <f>IF(SUM(I15:AA15)&gt;0,1,0)</f>
        <v>1</v>
      </c>
    </row>
    <row r="16" spans="4:53" ht="24.75" customHeight="1">
      <c r="D16" s="191">
        <v>2</v>
      </c>
      <c r="E16" s="455" t="s">
        <v>335</v>
      </c>
      <c r="F16" s="456"/>
      <c r="G16" s="456" t="s">
        <v>875</v>
      </c>
      <c r="H16" s="47" t="s">
        <v>888</v>
      </c>
      <c r="I16" s="47">
        <v>1</v>
      </c>
      <c r="J16" s="47">
        <v>1280031</v>
      </c>
      <c r="K16" s="47"/>
      <c r="L16" s="47"/>
      <c r="M16" s="457">
        <f>+IFERROR(IF(COUNT(J16:L16),ROUND(SUM(J16:L16),0),""),"")</f>
        <v>1280031</v>
      </c>
      <c r="N16" s="222">
        <f>+IFERROR(IF(COUNT(M16),ROUND(M16/'Shareholding Pattern'!$L$78*100,2),""),0)</f>
        <v>0.93</v>
      </c>
      <c r="O16" s="203">
        <v>1280031</v>
      </c>
      <c r="P16" s="203"/>
      <c r="Q16" s="183">
        <f>+IFERROR(IF(COUNT(O16:P16),ROUND(SUM(O16,P16),2),""),"")</f>
        <v>1280031</v>
      </c>
      <c r="R16" s="222">
        <f>+IFERROR(IF(COUNT(Q16),ROUND(Q16/('Shareholding Pattern'!$P$79)*100,2),""),0)</f>
        <v>0.93</v>
      </c>
      <c r="S16" s="47">
        <v>945291</v>
      </c>
      <c r="T16" s="47">
        <v>945291</v>
      </c>
      <c r="U16" s="457">
        <f>+IFERROR(IF(COUNT(S16:T16),ROUND(SUM(S16:T16),0),""),"")</f>
        <v>1890582</v>
      </c>
      <c r="V16" s="222">
        <f>+IFERROR(IF(COUNT(M16,U16),ROUND(SUM(U16,M16)/SUM('Shareholding Pattern'!$L$78,'Shareholding Pattern'!$T$78)*100,2),""),0)</f>
        <v>2.14</v>
      </c>
      <c r="W16" s="47">
        <v>1280031</v>
      </c>
      <c r="X16" s="183">
        <f>+IFERROR(IF(COUNT(W16),ROUND(SUM(W16)/SUM(M16)*100,2),""),0)</f>
        <v>100</v>
      </c>
      <c r="Y16" s="47"/>
      <c r="Z16" s="221" t="str">
        <f>+IFERROR(IF(COUNT(Y16),ROUND(SUM(Y16)/SUM(M16)*100,2),""),0)</f>
        <v/>
      </c>
      <c r="AA16" s="458">
        <v>1280031</v>
      </c>
      <c r="AB16" s="265"/>
      <c r="AC16" s="315" t="s">
        <v>462</v>
      </c>
      <c r="AD16" s="271" t="str">
        <f>IF(COUNT(H21:$AA$15002)=0,"",SUM(AC4:AC65539))</f>
        <v/>
      </c>
      <c r="AE16" s="11"/>
      <c r="AF16" s="352">
        <f>IF(SUM(I16:AA16)&gt;0,1,0)</f>
        <v>1</v>
      </c>
    </row>
    <row r="17" spans="4:32" ht="24.75" customHeight="1">
      <c r="D17" s="191">
        <v>3</v>
      </c>
      <c r="E17" s="455" t="s">
        <v>440</v>
      </c>
      <c r="F17" s="456"/>
      <c r="G17" s="456" t="s">
        <v>876</v>
      </c>
      <c r="H17" s="47" t="s">
        <v>877</v>
      </c>
      <c r="I17" s="47">
        <v>0</v>
      </c>
      <c r="J17" s="47">
        <v>0</v>
      </c>
      <c r="K17" s="47"/>
      <c r="L17" s="47"/>
      <c r="M17" s="457">
        <f>+IFERROR(IF(COUNT(J17:L17),ROUND(SUM(J17:L17),0),""),"")</f>
        <v>0</v>
      </c>
      <c r="N17" s="222">
        <f>+IFERROR(IF(COUNT(M17),ROUND(M17/'Shareholding Pattern'!$L$78*100,2),""),0)</f>
        <v>0</v>
      </c>
      <c r="O17" s="203">
        <f>IF(J17="","",J17)</f>
        <v>0</v>
      </c>
      <c r="P17" s="203"/>
      <c r="Q17" s="183">
        <f>+IFERROR(IF(COUNT(O17:P17),ROUND(SUM(O17,P17),2),""),"")</f>
        <v>0</v>
      </c>
      <c r="R17" s="222">
        <f>+IFERROR(IF(COUNT(Q17),ROUND(Q17/('Shareholding Pattern'!$P$79)*100,2),""),0)</f>
        <v>0</v>
      </c>
      <c r="S17" s="47">
        <v>0</v>
      </c>
      <c r="T17" s="47">
        <v>0</v>
      </c>
      <c r="U17" s="457">
        <f>+IFERROR(IF(COUNT(S17:T17),ROUND(SUM(S17:T17),0),""),"")</f>
        <v>0</v>
      </c>
      <c r="V17" s="222">
        <f>+IFERROR(IF(COUNT(M17,U17),ROUND(SUM(U17,M17)/SUM('Shareholding Pattern'!$L$78,'Shareholding Pattern'!$T$78)*100,2),""),0)</f>
        <v>0</v>
      </c>
      <c r="W17" s="47">
        <v>0</v>
      </c>
      <c r="X17" s="183">
        <f>+IFERROR(IF(COUNT(W17),ROUND(SUM(W17)/SUM(M17)*100,2),""),0)</f>
        <v>0</v>
      </c>
      <c r="Y17" s="47"/>
      <c r="Z17" s="221" t="str">
        <f>+IFERROR(IF(COUNT(Y17),ROUND(SUM(Y17)/SUM(M17)*100,2),""),0)</f>
        <v/>
      </c>
      <c r="AA17" s="458">
        <v>0</v>
      </c>
      <c r="AB17" s="265"/>
      <c r="AC17" s="315" t="s">
        <v>462</v>
      </c>
      <c r="AD17" s="271" t="str">
        <f>IF(COUNT(H22:$AA$15002)=0,"",SUM(AC5:AC65540))</f>
        <v/>
      </c>
      <c r="AE17" s="11"/>
      <c r="AF17" s="352">
        <f>IF(SUM(I17:AA17)&gt;0,1,0)</f>
        <v>0</v>
      </c>
    </row>
    <row r="18" spans="4:32" ht="18.75" hidden="1" customHeight="1">
      <c r="D18" s="45"/>
      <c r="Z18" s="209"/>
    </row>
    <row r="19" spans="4:32" ht="20.100000000000001" customHeight="1">
      <c r="D19" s="59"/>
      <c r="E19" s="210" t="s">
        <v>392</v>
      </c>
      <c r="F19" s="36"/>
      <c r="G19" s="60"/>
      <c r="H19" s="210" t="s">
        <v>19</v>
      </c>
      <c r="I19" s="64">
        <f>+IFERROR(IF(COUNT(I14:I18),ROUND(SUM(I14:I18),0),""),"")</f>
        <v>2</v>
      </c>
      <c r="J19" s="64">
        <f>+IFERROR(IF(COUNT(J14:J18),ROUND(SUM(J14:J18),0),""),"")</f>
        <v>30035028</v>
      </c>
      <c r="K19" s="64" t="str">
        <f>+IFERROR(IF(COUNT(K14:K18),ROUND(SUM(K14:K18),0),""),"")</f>
        <v/>
      </c>
      <c r="L19" s="64" t="str">
        <f>+IFERROR(IF(COUNT(L14:L18),ROUND(SUM(L14:L18),0),""),"")</f>
        <v/>
      </c>
      <c r="M19" s="64">
        <f>+IFERROR(IF(COUNT(M14:M18),ROUND(SUM(M14:M18),0),""),"")</f>
        <v>30035028</v>
      </c>
      <c r="N19" s="221">
        <f>+IFERROR(IF(COUNT(M19),ROUND(M19/'Shareholding Pattern'!$L$78*100,2),""),0)</f>
        <v>21.71</v>
      </c>
      <c r="O19" s="185">
        <f>+IFERROR(IF(COUNT(O14:O18),ROUND(SUM(O14:O18),0),""),"")</f>
        <v>30035028</v>
      </c>
      <c r="P19" s="185" t="str">
        <f>+IFERROR(IF(COUNT(P14:P18),ROUND(SUM(P14:P18),0),""),"")</f>
        <v/>
      </c>
      <c r="Q19" s="185">
        <f>+IFERROR(IF(COUNT(Q14:Q18),ROUND(SUM(Q14:Q18),0),""),"")</f>
        <v>30035028</v>
      </c>
      <c r="R19" s="221">
        <f>+IFERROR(IF(COUNT(Q19),ROUND(Q19/('Shareholding Pattern'!$P$79)*100,2),""),0)</f>
        <v>21.71</v>
      </c>
      <c r="S19" s="64">
        <f>+IFERROR(IF(COUNT(S14:S18),ROUND(SUM(S14:S18),0),""),"")</f>
        <v>945291</v>
      </c>
      <c r="T19" s="64">
        <f>+IFERROR(IF(COUNT(T14:T18),ROUND(SUM(T14:T18),0),""),"")</f>
        <v>945291</v>
      </c>
      <c r="U19" s="64">
        <f>+IFERROR(IF(COUNT(U14:U18),ROUND(SUM(U14:U18),0),""),"")</f>
        <v>1890582</v>
      </c>
      <c r="V19" s="221">
        <f>+IFERROR(IF(COUNT(M19,U19),ROUND(SUM(U19,M19)/SUM('Shareholding Pattern'!$L$78,'Shareholding Pattern'!$T$78)*100,2),""),0)</f>
        <v>21.56</v>
      </c>
      <c r="W19" s="64">
        <f>+IFERROR(IF(COUNT(W14:W18),ROUND(SUM(W14:W18),0),""),"")</f>
        <v>4090257</v>
      </c>
      <c r="X19" s="221">
        <f>+IFERROR(IF(COUNT(W19),ROUND(SUM(W19)/SUM(M19)*100,2),""),0)</f>
        <v>13.62</v>
      </c>
      <c r="Y19" s="64" t="str">
        <f>+IFERROR(IF(COUNT(Y14:Y18),ROUND(SUM(Y14:Y18),0),""),"")</f>
        <v/>
      </c>
      <c r="Z19" s="221" t="str">
        <f>+IFERROR(IF(COUNT(Y19),ROUND(SUM(Y19)/SUM(M19)*100,2),""),0)</f>
        <v/>
      </c>
      <c r="AA19" s="64">
        <f>+IFERROR(IF(COUNT(AA14:AA18),ROUND(SUM(AA14:AA18),0),""),"")</f>
        <v>30035028</v>
      </c>
    </row>
  </sheetData>
  <sheetProtection algorithmName="SHA-512" hashValue="ryRPGtyteXXgGdGavprHYYFPnSVJj6iT7nPHepgEH/Zcc1opbyzJ1H5KEA19CvZbnZxgG40ow+HcBFZ4Vpks3Q==" saltValue="55Bpnu3LVbTerD21SVw4fA==" spinCount="100000"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7">
      <formula1>M13</formula1>
    </dataValidation>
    <dataValidation type="whole" operator="lessThanOrEqual" allowBlank="1" showInputMessage="1" showErrorMessage="1" sqref="W13 W15:W17">
      <formula1>J13</formula1>
    </dataValidation>
    <dataValidation type="whole" operator="lessThanOrEqual" allowBlank="1" showInputMessage="1" showErrorMessage="1" sqref="Y13 Y15:Y17">
      <formula1>J13</formula1>
    </dataValidation>
    <dataValidation type="textLength" operator="equal" allowBlank="1" showInputMessage="1" showErrorMessage="1" prompt="[A-Z][A-Z][A-Z][A-Z][A-Z][0-9][0-9][0-9][0-9][A-Z]_x000a__x000a_In absence of PAN write : ZZZZZ9999Z" sqref="H13 H15:H17">
      <formula1>10</formula1>
    </dataValidation>
    <dataValidation type="whole" operator="greaterThanOrEqual" allowBlank="1" showInputMessage="1" showErrorMessage="1" sqref="S13:T13 I13:L13 O13:P13 O15:P17 S15:T17 I15:L17">
      <formula1>0</formula1>
    </dataValidation>
    <dataValidation type="list" allowBlank="1" showInputMessage="1" showErrorMessage="1" sqref="E13 E15:E17">
      <formula1>$AR$1:$AR$6</formula1>
    </dataValidation>
    <dataValidation type="list" allowBlank="1" showInputMessage="1" showErrorMessage="1" sqref="F13 F15:F17">
      <formula1>$AV$9:$AV$10</formula1>
    </dataValidation>
    <dataValidation type="list" allowBlank="1" showInputMessage="1" showErrorMessage="1" sqref="AC13 AC15:AC17">
      <formula1>$AZ$2:$BA$2</formula1>
    </dataValidation>
  </dataValidations>
  <hyperlinks>
    <hyperlink ref="H19" location="'Shareholding Pattern'!F17" display="Total"/>
    <hyperlink ref="E19"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66675</xdr:colOff>
                    <xdr:row>14</xdr:row>
                    <xdr:rowOff>66675</xdr:rowOff>
                  </from>
                  <to>
                    <xdr:col>27</xdr:col>
                    <xdr:colOff>1314450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27</xdr:col>
                    <xdr:colOff>66675</xdr:colOff>
                    <xdr:row>15</xdr:row>
                    <xdr:rowOff>66675</xdr:rowOff>
                  </from>
                  <to>
                    <xdr:col>27</xdr:col>
                    <xdr:colOff>1314450</xdr:colOff>
                    <xdr:row>15</xdr:row>
                    <xdr:rowOff>266700</xdr:rowOff>
                  </to>
                </anchor>
              </controlPr>
            </control>
          </mc:Choice>
        </mc:AlternateContent>
        <mc:AlternateContent xmlns:mc="http://schemas.openxmlformats.org/markup-compatibility/2006">
          <mc:Choice Requires="x14">
            <control shapeId="10243" r:id="rId6" name="Button 3">
              <controlPr defaultSize="0" print="0" autoFill="0" autoPict="0" macro="[0]!opentextblock">
                <anchor moveWithCells="1" sizeWithCells="1">
                  <from>
                    <xdr:col>27</xdr:col>
                    <xdr:colOff>66675</xdr:colOff>
                    <xdr:row>16</xdr:row>
                    <xdr:rowOff>66675</xdr:rowOff>
                  </from>
                  <to>
                    <xdr:col>27</xdr:col>
                    <xdr:colOff>1314450</xdr:colOff>
                    <xdr:row>16</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24" sqref="F24"/>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3.42578125" customWidth="1"/>
    <col min="29" max="16383" width="1.8554687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row>
    <row r="10" spans="2: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2: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HLywgYcuX3Va2Zty/gb8Ex5Lbr9QKE4EG+QCKvwYadLo80rZDxdEVVYvTnP7ZGG1UikNG4V23wnQynVh7t24kQ==" saltValue="Ev9VOM4WUqLpHcdDtiCAPw=="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2.570312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algorithmName="SHA-512" hashValue="0rL5otm03CDdvA7D5n3pgPhcXedTtGQwW8SQTE4ARcbzTLl/CJC3mDgTQVmN9R1poqiI+Nc9FY71MKn7nD/95w==" saltValue="uPg26xKFVcGKFnYaA5Bqtw=="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3.28515625" customWidth="1"/>
    <col min="29" max="16384" width="1.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c r="AR9" t="s">
        <v>338</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339</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00000000000001"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GedbiPGu70z+b4yG0Bww/RFrqTvqhWETtg9NefsNBmBou4CqoQhhMeTqXjTcYhthNxsMtJIV3FFA+jgvmAjpaw==" saltValue="Cq5MXNj5kINPGmYRpS/ykA==" spinCount="100000" sheet="1" objects="1" scenarios="1"/>
  <mergeCells count="20">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Z9:Z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7109375" customWidth="1"/>
    <col min="29" max="16384" width="2.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13</v>
      </c>
      <c r="X9" s="564"/>
      <c r="Y9" s="564" t="s">
        <v>14</v>
      </c>
      <c r="Z9" s="524" t="s">
        <v>441</v>
      </c>
      <c r="AA9" s="612" t="s">
        <v>459</v>
      </c>
      <c r="AR9" t="s">
        <v>338</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339</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xkcn6L2rH7tRzhS8vZdDHG0po9IP9B2mHCBk+KW7Ns0oJZmawIahFQG+I9E7xDoiEOGDJEZsWyhHqlvMRuwGFg==" saltValue="O5y3vKLsgRIS+fp+BLvkOA=="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10" width="20.7109375" customWidth="1"/>
    <col min="11" max="12" width="20.7109375" hidden="1" customWidth="1"/>
    <col min="13" max="15" width="20.7109375" customWidth="1"/>
    <col min="16" max="16" width="20.7109375" hidden="1" customWidth="1"/>
    <col min="17" max="24" width="20.7109375" customWidth="1"/>
    <col min="25" max="26" width="20.7109375" hidden="1" customWidth="1"/>
    <col min="27" max="28" width="20.7109375" customWidth="1"/>
    <col min="29" max="29" width="20.7109375" style="272" customWidth="1"/>
    <col min="30" max="30" width="3.85546875" style="272" customWidth="1"/>
    <col min="31" max="16383" width="4" hidden="1"/>
    <col min="16384" max="16384" width="3.710937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612" t="s">
        <v>119</v>
      </c>
      <c r="E9" s="564" t="s">
        <v>34</v>
      </c>
      <c r="F9" s="564"/>
      <c r="G9" s="612" t="s">
        <v>118</v>
      </c>
      <c r="H9" s="564" t="s">
        <v>1</v>
      </c>
      <c r="I9" s="524" t="s">
        <v>368</v>
      </c>
      <c r="J9" s="564" t="s">
        <v>3</v>
      </c>
      <c r="K9" s="564" t="s">
        <v>4</v>
      </c>
      <c r="L9" s="564" t="s">
        <v>5</v>
      </c>
      <c r="M9" s="564" t="s">
        <v>6</v>
      </c>
      <c r="N9" s="564" t="s">
        <v>7</v>
      </c>
      <c r="O9" s="564" t="s">
        <v>8</v>
      </c>
      <c r="P9" s="564"/>
      <c r="Q9" s="564"/>
      <c r="R9" s="564"/>
      <c r="S9" s="564" t="s">
        <v>9</v>
      </c>
      <c r="T9" s="612" t="s">
        <v>447</v>
      </c>
      <c r="U9" s="612" t="s">
        <v>116</v>
      </c>
      <c r="V9" s="564" t="s">
        <v>89</v>
      </c>
      <c r="W9" s="564" t="s">
        <v>12</v>
      </c>
      <c r="X9" s="564"/>
      <c r="Y9" s="564" t="s">
        <v>13</v>
      </c>
      <c r="Z9" s="564"/>
      <c r="AA9" s="564" t="s">
        <v>14</v>
      </c>
      <c r="AB9" s="524" t="s">
        <v>441</v>
      </c>
      <c r="AC9" s="612" t="s">
        <v>459</v>
      </c>
      <c r="AD9"/>
      <c r="AS9" s="63"/>
      <c r="AV9" t="s">
        <v>34</v>
      </c>
    </row>
    <row r="10" spans="4:53" ht="31.5" customHeight="1">
      <c r="D10" s="610"/>
      <c r="E10" s="564"/>
      <c r="F10" s="564"/>
      <c r="G10" s="610"/>
      <c r="H10" s="564"/>
      <c r="I10" s="564"/>
      <c r="J10" s="564"/>
      <c r="K10" s="564"/>
      <c r="L10" s="564"/>
      <c r="M10" s="564"/>
      <c r="N10" s="564"/>
      <c r="O10" s="564" t="s">
        <v>15</v>
      </c>
      <c r="P10" s="564"/>
      <c r="Q10" s="564"/>
      <c r="R10" s="564" t="s">
        <v>16</v>
      </c>
      <c r="S10" s="564"/>
      <c r="T10" s="610"/>
      <c r="U10" s="610"/>
      <c r="V10" s="564"/>
      <c r="W10" s="564"/>
      <c r="X10" s="564"/>
      <c r="Y10" s="564"/>
      <c r="Z10" s="564"/>
      <c r="AA10" s="564"/>
      <c r="AB10" s="564"/>
      <c r="AC10" s="610"/>
      <c r="AD10"/>
      <c r="AS10" s="63"/>
      <c r="AV10" t="s">
        <v>379</v>
      </c>
    </row>
    <row r="11" spans="4:53" ht="78.75" customHeight="1">
      <c r="D11" s="611"/>
      <c r="E11" s="564"/>
      <c r="F11" s="564"/>
      <c r="G11" s="611"/>
      <c r="H11" s="564"/>
      <c r="I11" s="564"/>
      <c r="J11" s="564"/>
      <c r="K11" s="564"/>
      <c r="L11" s="564"/>
      <c r="M11" s="564"/>
      <c r="N11" s="564"/>
      <c r="O11" s="40" t="s">
        <v>17</v>
      </c>
      <c r="P11" s="40" t="s">
        <v>18</v>
      </c>
      <c r="Q11" s="40" t="s">
        <v>19</v>
      </c>
      <c r="R11" s="564"/>
      <c r="S11" s="564"/>
      <c r="T11" s="611"/>
      <c r="U11" s="611"/>
      <c r="V11" s="564"/>
      <c r="W11" s="40" t="s">
        <v>20</v>
      </c>
      <c r="X11" s="40" t="s">
        <v>21</v>
      </c>
      <c r="Y11" s="40" t="s">
        <v>20</v>
      </c>
      <c r="Z11" s="40" t="s">
        <v>21</v>
      </c>
      <c r="AA11" s="564"/>
      <c r="AB11" s="564"/>
      <c r="AC11" s="611"/>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algorithmName="SHA-512" hashValue="6ToD+e2rtvoaOv8DVgn5HmwGtCXd1jfvCFRDHEznPrjjfmYENz1DvBxXgP7ADY7cEBk3O5ndxoQBTct5H+yZpg==" saltValue="6G64FQEIGtVspTyVfDqUhw==" spinCount="100000"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3.7109375" customWidth="1"/>
    <col min="29" max="16383" width="13" hidden="1"/>
    <col min="16384" max="16384" width="3.710937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20.100000000000001"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RTRqyZG2mByHkZmMwoa1MIUDyj5BOvdhgnWxN0WtuzM+Y5vkTzy00yy9xmqEtO9MmMOIZ29/+jPQMod/prwIQg==" saltValue="FMzhgiAZFQNF1azmXfOHR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2.85546875" customWidth="1"/>
    <col min="29" max="16383" width="22.42578125" hidden="1"/>
    <col min="16384" max="16384" width="2.8554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GLIYAV9XvFyHe+Yb9SGoyz5IU030B1A9W70VD5TCySvTjG1Do0riAQ1eW5QiqSHoWCs3jatk1nEz7mT+kT2ULA==" saltValue="oLAl5FoCNJcXuxTUspBJx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25" sqref="F25"/>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IYBgHr9FWvwYOB23UqtUQTK97fNcbSXBsM73hG1DyY+AHzXty7Vh20tKo15bjXUPqj/+gLfzXwlfnAIdGQnCtA==" saltValue="thbG0wGC/2lOP2XSEYA0O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3.7109375" customWidth="1"/>
    <col min="29" max="16383" width="4.7109375" hidden="1"/>
    <col min="16384" max="16384" width="3.71093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Q11" t="s">
        <v>347</v>
      </c>
    </row>
    <row r="12" spans="5:43" ht="20.100000000000001"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qk1W39LY82LMo9TQnYZxk5fcv0dIFb2NoiO63RWUUih1Z1AeegSTxdwcmUF/Vn5cXMg9oMkXYotQtaMcemm/1w==" saltValue="0cxVxOfnaklN7vQNJrytAA=="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4.5703125" customWidth="1"/>
    <col min="29" max="16383" width="3.85546875" hidden="1"/>
    <col min="16384" max="16384" width="4.57031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0uRd6hNEb2NN+95AlGCpp7tXeng44NCwNHR7RpaUcNi4FlZZQqEk+Nha5Vy1VXPAM4aTn5S3YuiDuf7hu374gw==" saltValue="w5Zutu14oQ4ihdTZ93QyOQ=="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nR98/jO9Ix+GXuzQxl3/xDM2m8yc1J2geme/qiKyP63RZie0/oByKmzB/tlWSFz2zX4oaQNUjd0aJSpnkNoRYA==" saltValue="tLZDimP2IMwgc+fkEu2ziA==" spinCount="100000" sheet="1" objects="1" scenarios="1"/>
  <mergeCells count="20">
    <mergeCell ref="Y9:AA9"/>
    <mergeCell ref="Y10:AA10"/>
    <mergeCell ref="X9:X11"/>
    <mergeCell ref="M10:O10"/>
    <mergeCell ref="P10:P11"/>
    <mergeCell ref="R9:R11"/>
    <mergeCell ref="U9:V10"/>
    <mergeCell ref="W9:W11"/>
    <mergeCell ref="T9:T11"/>
    <mergeCell ref="S9:S11"/>
    <mergeCell ref="J9:J11"/>
    <mergeCell ref="K9:K11"/>
    <mergeCell ref="L9:L11"/>
    <mergeCell ref="M9:P9"/>
    <mergeCell ref="Q9:Q11"/>
    <mergeCell ref="E9:E11"/>
    <mergeCell ref="F9:F11"/>
    <mergeCell ref="G9:G11"/>
    <mergeCell ref="H9:H11"/>
    <mergeCell ref="I9:I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2.7109375" customWidth="1"/>
    <col min="29" max="16383" width="5.7109375" hidden="1"/>
    <col min="16384" max="16384" width="2.71093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eIa+SijBULkQy2XINt+sH5DwDXH5ggkpKZYBALIXXfBOA7jXAWtKKqmEBV7d/m6p072/5EX0clBcmzJL4+8QVg==" saltValue="lkPjVTMAzwI/IRc+KHuecA=="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XFC20"/>
  <sheetViews>
    <sheetView showGridLines="0" topLeftCell="F7" zoomScale="90" zoomScaleNormal="90" workbookViewId="0">
      <selection activeCell="W22" sqref="W22"/>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4</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453" t="s">
        <v>882</v>
      </c>
      <c r="G15" s="448" t="s">
        <v>883</v>
      </c>
      <c r="H15" s="47">
        <v>2232996</v>
      </c>
      <c r="I15" s="47"/>
      <c r="J15" s="47"/>
      <c r="K15" s="446">
        <f>+IFERROR(IF(COUNT(H15:J15),ROUND(SUM(H15:J15),0),""),"")</f>
        <v>2232996</v>
      </c>
      <c r="L15" s="51">
        <f>+IFERROR(IF(COUNT(K15),ROUND(K15/'Shareholding Pattern'!$L$78*100,2),""),"")</f>
        <v>1.61</v>
      </c>
      <c r="M15" s="203">
        <v>2232996</v>
      </c>
      <c r="N15" s="203"/>
      <c r="O15" s="266">
        <f>+IFERROR(IF(COUNT(M15:N15),ROUND(SUM(M15,N15),2),""),"")</f>
        <v>2232996</v>
      </c>
      <c r="P15" s="51">
        <f>+IFERROR(IF(COUNT(O15),ROUND(O15/('Shareholding Pattern'!$P$79)*100,2),""),"")</f>
        <v>1.61</v>
      </c>
      <c r="Q15" s="47">
        <v>12926</v>
      </c>
      <c r="R15" s="47">
        <v>0</v>
      </c>
      <c r="S15" s="446">
        <f>+IFERROR(IF(COUNT(Q15:R15),ROUND(SUM(Q15:R15),0),""),"")</f>
        <v>12926</v>
      </c>
      <c r="T15" s="51">
        <f>+IFERROR(IF(COUNT(K15,S15),ROUND(SUM(S15,K15)/SUM('Shareholding Pattern'!$L$78,'Shareholding Pattern'!$T$78)*100,2),""),"")</f>
        <v>1.52</v>
      </c>
      <c r="U15" s="47"/>
      <c r="V15" s="17" t="str">
        <f>+IFERROR(IF(COUNT(U15),ROUND(SUM(U15)/SUM(K15)*100,2),""),0)</f>
        <v/>
      </c>
      <c r="W15" s="47">
        <v>2232996</v>
      </c>
      <c r="X15" s="265"/>
      <c r="Y15" s="47">
        <v>0</v>
      </c>
      <c r="Z15" s="47">
        <v>0</v>
      </c>
      <c r="AA15" s="47">
        <v>0</v>
      </c>
      <c r="AB15" s="11"/>
      <c r="AC15" s="11" t="e">
        <f>SUM(#REF!)</f>
        <v>#REF!</v>
      </c>
    </row>
    <row r="16" spans="5:29" ht="24.95" customHeight="1">
      <c r="E16" s="191">
        <v>2</v>
      </c>
      <c r="F16" s="453" t="s">
        <v>884</v>
      </c>
      <c r="G16" s="448" t="s">
        <v>885</v>
      </c>
      <c r="H16" s="47">
        <v>1569006</v>
      </c>
      <c r="I16" s="47"/>
      <c r="J16" s="47"/>
      <c r="K16" s="446">
        <f>+IFERROR(IF(COUNT(H16:J16),ROUND(SUM(H16:J16),0),""),"")</f>
        <v>1569006</v>
      </c>
      <c r="L16" s="51">
        <f>+IFERROR(IF(COUNT(K16),ROUND(K16/'Shareholding Pattern'!$L$78*100,2),""),"")</f>
        <v>1.1299999999999999</v>
      </c>
      <c r="M16" s="203">
        <v>1569006</v>
      </c>
      <c r="N16" s="203"/>
      <c r="O16" s="266">
        <f>+IFERROR(IF(COUNT(M16:N16),ROUND(SUM(M16,N16),2),""),"")</f>
        <v>1569006</v>
      </c>
      <c r="P16" s="51">
        <f>+IFERROR(IF(COUNT(O16),ROUND(O16/('Shareholding Pattern'!$P$79)*100,2),""),"")</f>
        <v>1.1299999999999999</v>
      </c>
      <c r="Q16" s="47">
        <v>34470</v>
      </c>
      <c r="R16" s="47">
        <v>0</v>
      </c>
      <c r="S16" s="446">
        <f>+IFERROR(IF(COUNT(Q16:R16),ROUND(SUM(Q16:R16),0),""),"")</f>
        <v>34470</v>
      </c>
      <c r="T16" s="51">
        <f>+IFERROR(IF(COUNT(K16,S16),ROUND(SUM(S16,K16)/SUM('Shareholding Pattern'!$L$78,'Shareholding Pattern'!$T$78)*100,2),""),"")</f>
        <v>1.08</v>
      </c>
      <c r="U16" s="47"/>
      <c r="V16" s="17" t="str">
        <f>+IFERROR(IF(COUNT(U16),ROUND(SUM(U16)/SUM(K16)*100,2),""),0)</f>
        <v/>
      </c>
      <c r="W16" s="47">
        <v>1569006</v>
      </c>
      <c r="X16" s="265"/>
      <c r="Y16" s="47">
        <v>0</v>
      </c>
      <c r="Z16" s="47">
        <v>0</v>
      </c>
      <c r="AA16" s="47">
        <v>0</v>
      </c>
      <c r="AB16" s="11"/>
      <c r="AC16" s="11" t="e">
        <f>SUM(#REF!)</f>
        <v>#REF!</v>
      </c>
    </row>
    <row r="17" spans="5:29" ht="24.95" customHeight="1">
      <c r="E17" s="191">
        <v>3</v>
      </c>
      <c r="F17" s="453" t="s">
        <v>886</v>
      </c>
      <c r="G17" s="448" t="s">
        <v>887</v>
      </c>
      <c r="H17" s="47">
        <v>5782348</v>
      </c>
      <c r="I17" s="47"/>
      <c r="J17" s="47"/>
      <c r="K17" s="446">
        <f>+IFERROR(IF(COUNT(H17:J17),ROUND(SUM(H17:J17),0),""),"")</f>
        <v>5782348</v>
      </c>
      <c r="L17" s="51">
        <f>+IFERROR(IF(COUNT(K17),ROUND(K17/'Shareholding Pattern'!$L$78*100,2),""),"")</f>
        <v>4.18</v>
      </c>
      <c r="M17" s="203">
        <v>5782348</v>
      </c>
      <c r="N17" s="203"/>
      <c r="O17" s="266">
        <f>+IFERROR(IF(COUNT(M17:N17),ROUND(SUM(M17,N17),2),""),"")</f>
        <v>5782348</v>
      </c>
      <c r="P17" s="51">
        <f>+IFERROR(IF(COUNT(O17),ROUND(O17/('Shareholding Pattern'!$P$79)*100,2),""),"")</f>
        <v>4.18</v>
      </c>
      <c r="Q17" s="47">
        <v>0</v>
      </c>
      <c r="R17" s="47">
        <v>0</v>
      </c>
      <c r="S17" s="446">
        <f>+IFERROR(IF(COUNT(Q17:R17),ROUND(SUM(Q17:R17),0),""),"")</f>
        <v>0</v>
      </c>
      <c r="T17" s="51">
        <f>+IFERROR(IF(COUNT(K17,S17),ROUND(SUM(S17,K17)/SUM('Shareholding Pattern'!$L$78,'Shareholding Pattern'!$T$78)*100,2),""),"")</f>
        <v>3.91</v>
      </c>
      <c r="U17" s="47"/>
      <c r="V17" s="17" t="str">
        <f>+IFERROR(IF(COUNT(U17),ROUND(SUM(U17)/SUM(K17)*100,2),""),0)</f>
        <v/>
      </c>
      <c r="W17" s="47">
        <v>5782348</v>
      </c>
      <c r="X17" s="265"/>
      <c r="Y17" s="47">
        <v>0</v>
      </c>
      <c r="Z17" s="47">
        <v>0</v>
      </c>
      <c r="AA17" s="47">
        <v>0</v>
      </c>
      <c r="AB17" s="11"/>
      <c r="AC17" s="11" t="e">
        <f>SUM(#REF!)</f>
        <v>#REF!</v>
      </c>
    </row>
    <row r="18" spans="5:29" ht="24.95" customHeight="1">
      <c r="E18" s="191">
        <v>4</v>
      </c>
      <c r="F18" s="453" t="s">
        <v>869</v>
      </c>
      <c r="G18" s="448" t="s">
        <v>870</v>
      </c>
      <c r="H18" s="47">
        <v>23333789</v>
      </c>
      <c r="I18" s="47"/>
      <c r="J18" s="47"/>
      <c r="K18" s="446">
        <f>+IFERROR(IF(COUNT(H18:J18),ROUND(SUM(H18:J18),0),""),"")</f>
        <v>23333789</v>
      </c>
      <c r="L18" s="51">
        <f>+IFERROR(IF(COUNT(K18),ROUND(K18/'Shareholding Pattern'!$L$78*100,2),""),"")</f>
        <v>16.86</v>
      </c>
      <c r="M18" s="203">
        <v>23333789</v>
      </c>
      <c r="N18" s="203"/>
      <c r="O18" s="266">
        <f>+IFERROR(IF(COUNT(M18:N18),ROUND(SUM(M18,N18),2),""),"")</f>
        <v>23333789</v>
      </c>
      <c r="P18" s="51">
        <f>+IFERROR(IF(COUNT(O18),ROUND(O18/('Shareholding Pattern'!$P$79)*100,2),""),"")</f>
        <v>16.86</v>
      </c>
      <c r="Q18" s="47">
        <v>0</v>
      </c>
      <c r="R18" s="47">
        <v>260000</v>
      </c>
      <c r="S18" s="446">
        <f>+IFERROR(IF(COUNT(Q18:R18),ROUND(SUM(Q18:R18),0),""),"")</f>
        <v>260000</v>
      </c>
      <c r="T18" s="51">
        <f>+IFERROR(IF(COUNT(K18,S18),ROUND(SUM(S18,K18)/SUM('Shareholding Pattern'!$L$78,'Shareholding Pattern'!$T$78)*100,2),""),"")</f>
        <v>15.93</v>
      </c>
      <c r="U18" s="47"/>
      <c r="V18" s="17" t="str">
        <f>+IFERROR(IF(COUNT(U18),ROUND(SUM(U18)/SUM(K18)*100,2),""),0)</f>
        <v/>
      </c>
      <c r="W18" s="47">
        <v>23333789</v>
      </c>
      <c r="X18" s="265"/>
      <c r="Y18" s="47">
        <v>0</v>
      </c>
      <c r="Z18" s="47">
        <v>0</v>
      </c>
      <c r="AA18" s="47">
        <v>0</v>
      </c>
      <c r="AB18" s="11"/>
      <c r="AC18" s="11" t="e">
        <f>SUM(#REF!)</f>
        <v>#REF!</v>
      </c>
    </row>
    <row r="19" spans="5:29" hidden="1">
      <c r="E19" s="200"/>
      <c r="F19" s="18"/>
      <c r="G19" s="18"/>
      <c r="H19" s="18"/>
      <c r="I19" s="18"/>
      <c r="J19" s="198"/>
      <c r="K19" s="198"/>
      <c r="L19" s="18"/>
      <c r="M19" s="18"/>
      <c r="N19" s="198"/>
      <c r="O19" s="198"/>
      <c r="P19" s="18"/>
      <c r="Q19" s="18"/>
      <c r="R19" s="18"/>
      <c r="S19" s="18"/>
      <c r="T19" s="18"/>
      <c r="U19" s="18"/>
      <c r="V19" s="198"/>
      <c r="W19" s="201"/>
      <c r="X19" s="201"/>
      <c r="Y19" s="201"/>
      <c r="Z19" s="201"/>
      <c r="AA19" s="199"/>
    </row>
    <row r="20" spans="5:29" ht="20.100000000000001" customHeight="1">
      <c r="E20" s="59"/>
      <c r="F20" s="60" t="s">
        <v>392</v>
      </c>
      <c r="G20" s="60" t="s">
        <v>19</v>
      </c>
      <c r="H20" s="53">
        <f>+IFERROR(IF(COUNT(H14:H19),ROUND(SUM(H14:H19),0),""),"")</f>
        <v>32918139</v>
      </c>
      <c r="I20" s="53" t="str">
        <f>+IFERROR(IF(COUNT(I14:I19),ROUND(SUM(I14:I19),0),""),"")</f>
        <v/>
      </c>
      <c r="J20" s="53" t="str">
        <f>+IFERROR(IF(COUNT(J14:J19),ROUND(SUM(J14:J19),0),""),"")</f>
        <v/>
      </c>
      <c r="K20" s="53">
        <f>+IFERROR(IF(COUNT(K14:K19),ROUND(SUM(K14:K19),0),""),"")</f>
        <v>32918139</v>
      </c>
      <c r="L20" s="17">
        <f>+IFERROR(IF(COUNT(K20),ROUND(K20/'Shareholding Pattern'!$L$78*100,2),""),"")</f>
        <v>23.79</v>
      </c>
      <c r="M20" s="35">
        <f>+IFERROR(IF(COUNT(M14:M19),ROUND(SUM(M14:M19),0),""),"")</f>
        <v>32918139</v>
      </c>
      <c r="N20" s="35" t="str">
        <f>+IFERROR(IF(COUNT(N14:N19),ROUND(SUM(N14:N19),0),""),"")</f>
        <v/>
      </c>
      <c r="O20" s="35">
        <f>+IFERROR(IF(COUNT(O14:O19),ROUND(SUM(O14:O19),0),""),"")</f>
        <v>32918139</v>
      </c>
      <c r="P20" s="17">
        <f>+IFERROR(IF(COUNT(O20),ROUND(O20/('Shareholding Pattern'!$P$79)*100,2),""),"")</f>
        <v>23.79</v>
      </c>
      <c r="Q20" s="53">
        <f>+IFERROR(IF(COUNT(Q14:Q19),ROUND(SUM(Q14:Q19),0),""),"")</f>
        <v>47396</v>
      </c>
      <c r="R20" s="53">
        <f>+IFERROR(IF(COUNT(R14:R19),ROUND(SUM(R14:R19),0),""),"")</f>
        <v>260000</v>
      </c>
      <c r="S20" s="53">
        <f>+IFERROR(IF(COUNT(S14:S19),ROUND(SUM(S14:S19),0),""),"")</f>
        <v>307396</v>
      </c>
      <c r="T20" s="17">
        <f>+IFERROR(IF(COUNT(K20,S20),ROUND(SUM(S20,K20)/SUM('Shareholding Pattern'!$L$78,'Shareholding Pattern'!$T$78)*100,2),""),"")</f>
        <v>22.44</v>
      </c>
      <c r="U20" s="53" t="str">
        <f>+IFERROR(IF(COUNT(U14:U19),ROUND(SUM(U14:U19),0),""),"")</f>
        <v/>
      </c>
      <c r="V20" s="17" t="str">
        <f>+IFERROR(IF(COUNT(U20),ROUND(SUM(U20)/SUM(K20)*100,2),""),0)</f>
        <v/>
      </c>
      <c r="W20" s="53">
        <f>+IFERROR(IF(COUNT(W14:W19),ROUND(SUM(W14:W19),0),""),"")</f>
        <v>32918139</v>
      </c>
      <c r="X20" s="407"/>
      <c r="Y20" s="53">
        <f>+IFERROR(IF(COUNT(Y14:Y19),ROUND(SUM(Y14:Y19),0),""),"")</f>
        <v>0</v>
      </c>
      <c r="Z20" s="53">
        <f>+IFERROR(IF(COUNT(Z14:Z19),ROUND(SUM(Z14:Z19),0),""),"")</f>
        <v>0</v>
      </c>
      <c r="AA20" s="53">
        <f>+IFERROR(IF(COUNT(AA14:AA19),ROUND(SUM(AA14:AA19),0),""),"")</f>
        <v>0</v>
      </c>
    </row>
  </sheetData>
  <sheetProtection algorithmName="SHA-512" hashValue="CZ5V46wwpi8TUDJIKPBtmx1OE3YOEcqPUcw/6PwLtEuQvX59TjP3ildTME+GaztOPXgGuyYIgUmK9oopC6/UoA==" saltValue="r0Z/Bkk4E3YyxUfQTKz+0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U15:U18">
      <formula1>H13</formula1>
    </dataValidation>
    <dataValidation type="whole" operator="lessThanOrEqual" allowBlank="1" showInputMessage="1" showErrorMessage="1" sqref="W13 W15:W18">
      <formula1>K13</formula1>
    </dataValidation>
    <dataValidation type="textLength" operator="equal" allowBlank="1" showInputMessage="1" showErrorMessage="1" prompt="[A-Z][A-Z][A-Z][A-Z][A-Z][0-9][0-9][0-9][0-9][A-Z]_x000a__x000a_In absence of PAN write : ZZZZZ9999Z" sqref="G13 G15:G18">
      <formula1>10</formula1>
    </dataValidation>
    <dataValidation type="whole" operator="greaterThanOrEqual" allowBlank="1" showInputMessage="1" showErrorMessage="1" sqref="Q13:R13 M13:N13 H13:J13 Q15:R18 M15:N18 H15:J18">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8">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8">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8">
      <formula1>K13</formula1>
    </dataValidation>
  </dataValidations>
  <hyperlinks>
    <hyperlink ref="G20" location="'Shareholding Pattern'!F40" display="Total"/>
    <hyperlink ref="F20" location="'Shareholding Pattern'!F68"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23554"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mc:AlternateContent xmlns:mc="http://schemas.openxmlformats.org/markup-compatibility/2006">
          <mc:Choice Requires="x14">
            <control shapeId="23555" r:id="rId5" name="Button 3">
              <controlPr defaultSize="0" print="0" autoFill="0" autoPict="0" macro="[0]!opentextblock">
                <anchor moveWithCells="1" sizeWithCells="1">
                  <from>
                    <xdr:col>23</xdr:col>
                    <xdr:colOff>66675</xdr:colOff>
                    <xdr:row>16</xdr:row>
                    <xdr:rowOff>66675</xdr:rowOff>
                  </from>
                  <to>
                    <xdr:col>23</xdr:col>
                    <xdr:colOff>1314450</xdr:colOff>
                    <xdr:row>16</xdr:row>
                    <xdr:rowOff>266700</xdr:rowOff>
                  </to>
                </anchor>
              </controlPr>
            </control>
          </mc:Choice>
        </mc:AlternateContent>
        <mc:AlternateContent xmlns:mc="http://schemas.openxmlformats.org/markup-compatibility/2006">
          <mc:Choice Requires="x14">
            <control shapeId="23556" r:id="rId6" name="Button 4">
              <controlPr defaultSize="0" print="0" autoFill="0" autoPict="0" macro="[0]!opentextblock">
                <anchor moveWithCells="1" sizeWithCells="1">
                  <from>
                    <xdr:col>23</xdr:col>
                    <xdr:colOff>66675</xdr:colOff>
                    <xdr:row>17</xdr:row>
                    <xdr:rowOff>66675</xdr:rowOff>
                  </from>
                  <to>
                    <xdr:col>23</xdr:col>
                    <xdr:colOff>1314450</xdr:colOff>
                    <xdr:row>17</xdr:row>
                    <xdr:rowOff>266700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xv4Bjih6F/NAJkJOc/rEqtilBck4JBvE42cTq+npFrrnOm7RZ2ZoEkjD4sFqzDHtOU+NBwvcPENM105/8bQhhg==" saltValue="ahKgdnKksXUmoZ3LaFYdG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30" width="0" hidden="1" customWidth="1"/>
    <col min="31"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00000000000001"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idUlur2asOOKTctOUFLuyY4SiqEdWZXikjBdZ+9HGS7C2Y0N1ZM8G3vv2i/DulxBNODR7hiYNYIVcefZdgjDkg==" saltValue="8QStI5pZypu8ZBi9/ivsU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T2bKQxeBSteFl8CcI8OAQAuq81rfgH7fE0/hJf+qSftAZixH5VzVaGSKwxPbFvDKsHXSmJTUqv+Uu/VCYHIhzA==" saltValue="bDHBhVNHDupF6ittOyEQT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4GjnQ+C04/RDvgUO4GE07BoHi8EOE+K+Zm97CuEKNjSoHyiRwlmUtqI9klWIT0TcGYbFcj9gD7x2s+Zb2iuu0g==" saltValue="vBSA5gbPwh5kF+4UxPiUk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00000000000001"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rhyXeT4HjeQziqw/4z+Ypb4i5vMuxuEqoJWkbS3OkY2NClqSBmrSBJQRmo4MLiwfnp1rxuR3m7V+jOSyJ1R8Lw==" saltValue="81bmMBwpY8WHWrWzY75NI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00000000000001"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iR9dtoGwvSN238m6CL3UQVXsjAx74eVTyuZ0agLymWWqUIOU4eMGiA7EZV462ITwpMlZ9+0qMvx3V3Qhr6ZFBQ==" saltValue="pLQG287DybEQXJXook8Bq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O8qtuFeGz/JwD9fD3tUXhKTxzblyaFHLGi4/4MpEfeqESIE5uYw1ffP++4WsnA82Jph/51nK7gTrYyyVl5g42g==" saltValue="t83UO8YqXohOgLFb5F40u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1sYKINrT99Bm2W8Jth74b01loBteO+sWH7lWD/Bs+eYG6hcO/IJX5WGvRXUB9lADDxP7ui6zuxvdbihUibm/Bg==" saltValue="aO+C+2TCiX5rHgfEeTYaz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I72rJchS3C0q9AOLgq51652572lUls477DJp5O89gmMLf3u1+9zckjEChgev5ES2CY5gYtx9t/WAu9PzRoqTZQ==" saltValue="Rw7XMmO7KiRm4CPBPdc7a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TcUoaM0NgVykVn93lbGgcWeF4ZmcsSEWQWHqn8P3jgMtHIRw/n3kToc3xaS8WO83T7VHccfT+41YBsnrmOLTkg==" saltValue="aVXcJ7PhKJD5rsmO6S1Sf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8" sqref="F18"/>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5VBaCzbBX3LoTklAQeQztF+2Kz8tR3sHFKAusaywWFGtXKWQ2YJKMFwsLAxxLZp0uy/RtlreWayitCoOedgG7g==" saltValue="4csabV8a+xqBc2yVxQ5oJ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6" customFormat="1" ht="20.100000000000001"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Qo7oQK4lyNoL5twP9CTrVjtwlnxT75J3eIi3+XQYmqoP8+FJv949rWdScKKmLwt37JGVrpFy8hZokU8ftuqWIQ==" saltValue="RmXrwUW6ObaqqgP+MMtU3g==" spinCount="100000" sheet="1" objects="1" scenarios="1"/>
  <mergeCells count="20">
    <mergeCell ref="H9:H11"/>
    <mergeCell ref="E9:E11"/>
    <mergeCell ref="F9:F11"/>
    <mergeCell ref="G9:G11"/>
    <mergeCell ref="K9:K11"/>
    <mergeCell ref="I9:I11"/>
    <mergeCell ref="J9:J11"/>
    <mergeCell ref="L9:L11"/>
    <mergeCell ref="M9:P9"/>
    <mergeCell ref="U9:V10"/>
    <mergeCell ref="T9:T11"/>
    <mergeCell ref="R9:R11"/>
    <mergeCell ref="S9:S11"/>
    <mergeCell ref="M10:O10"/>
    <mergeCell ref="Y9:AA9"/>
    <mergeCell ref="Y10:AA10"/>
    <mergeCell ref="Q9:Q11"/>
    <mergeCell ref="P10:P11"/>
    <mergeCell ref="X9:X11"/>
    <mergeCell ref="W9:W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22" width="20.7109375" customWidth="1"/>
    <col min="23" max="24" width="20.7109375" hidden="1" customWidth="1"/>
    <col min="25"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12" t="s">
        <v>119</v>
      </c>
      <c r="E9" s="612" t="s">
        <v>34</v>
      </c>
      <c r="F9" s="612" t="s">
        <v>376</v>
      </c>
      <c r="G9" s="609" t="s">
        <v>118</v>
      </c>
      <c r="H9" s="564" t="s">
        <v>1</v>
      </c>
      <c r="I9" s="609" t="s">
        <v>368</v>
      </c>
      <c r="J9" s="564" t="s">
        <v>3</v>
      </c>
      <c r="K9" s="564" t="s">
        <v>4</v>
      </c>
      <c r="L9" s="564" t="s">
        <v>5</v>
      </c>
      <c r="M9" s="564" t="s">
        <v>6</v>
      </c>
      <c r="N9" s="564" t="s">
        <v>7</v>
      </c>
      <c r="O9" s="564" t="s">
        <v>8</v>
      </c>
      <c r="P9" s="564"/>
      <c r="Q9" s="564"/>
      <c r="R9" s="564"/>
      <c r="S9" s="564" t="s">
        <v>9</v>
      </c>
      <c r="T9" s="612" t="s">
        <v>447</v>
      </c>
      <c r="U9" s="612" t="s">
        <v>120</v>
      </c>
      <c r="V9" s="564" t="s">
        <v>89</v>
      </c>
      <c r="W9" s="564" t="s">
        <v>12</v>
      </c>
      <c r="X9" s="564"/>
      <c r="Y9" s="564" t="s">
        <v>14</v>
      </c>
      <c r="Z9" s="524" t="s">
        <v>441</v>
      </c>
      <c r="AA9" s="600" t="s">
        <v>708</v>
      </c>
      <c r="AB9" s="601"/>
      <c r="AC9" s="602"/>
      <c r="AG9" s="63" t="s">
        <v>348</v>
      </c>
      <c r="AV9" t="s">
        <v>34</v>
      </c>
    </row>
    <row r="10" spans="4:57" ht="31.5" customHeight="1">
      <c r="D10" s="610"/>
      <c r="E10" s="610"/>
      <c r="F10" s="610"/>
      <c r="G10" s="537"/>
      <c r="H10" s="564"/>
      <c r="I10" s="610"/>
      <c r="J10" s="564"/>
      <c r="K10" s="564"/>
      <c r="L10" s="564"/>
      <c r="M10" s="564"/>
      <c r="N10" s="564"/>
      <c r="O10" s="564" t="s">
        <v>15</v>
      </c>
      <c r="P10" s="564"/>
      <c r="Q10" s="564"/>
      <c r="R10" s="564" t="s">
        <v>16</v>
      </c>
      <c r="S10" s="564"/>
      <c r="T10" s="610"/>
      <c r="U10" s="574"/>
      <c r="V10" s="564"/>
      <c r="W10" s="564"/>
      <c r="X10" s="564"/>
      <c r="Y10" s="564"/>
      <c r="Z10" s="564"/>
      <c r="AA10" s="531" t="s">
        <v>709</v>
      </c>
      <c r="AB10" s="532"/>
      <c r="AC10" s="533"/>
      <c r="AG10" s="63" t="s">
        <v>339</v>
      </c>
      <c r="AV10" t="s">
        <v>379</v>
      </c>
    </row>
    <row r="11" spans="4:57" ht="45">
      <c r="D11" s="611"/>
      <c r="E11" s="611"/>
      <c r="F11" s="611"/>
      <c r="G11" s="523"/>
      <c r="H11" s="564"/>
      <c r="I11" s="611"/>
      <c r="J11" s="564"/>
      <c r="K11" s="564"/>
      <c r="L11" s="564"/>
      <c r="M11" s="564"/>
      <c r="N11" s="564"/>
      <c r="O11" s="383" t="s">
        <v>17</v>
      </c>
      <c r="P11" s="383" t="s">
        <v>18</v>
      </c>
      <c r="Q11" s="383" t="s">
        <v>19</v>
      </c>
      <c r="R11" s="564"/>
      <c r="S11" s="564"/>
      <c r="T11" s="611"/>
      <c r="U11" s="575"/>
      <c r="V11" s="564"/>
      <c r="W11" s="383" t="s">
        <v>20</v>
      </c>
      <c r="X11" s="383" t="s">
        <v>21</v>
      </c>
      <c r="Y11" s="564"/>
      <c r="Z11" s="564"/>
      <c r="AA11" s="400" t="s">
        <v>710</v>
      </c>
      <c r="AB11" s="400" t="s">
        <v>711</v>
      </c>
      <c r="AC11" s="400" t="s">
        <v>712</v>
      </c>
      <c r="AG11" s="63" t="s">
        <v>344</v>
      </c>
    </row>
    <row r="12" spans="4:57" ht="15.75">
      <c r="D12" s="9" t="s">
        <v>696</v>
      </c>
      <c r="E12" s="385" t="s">
        <v>33</v>
      </c>
      <c r="F12" s="386"/>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TuoV0k5kH54OAsdy2+12NtNObe+iIu3sJRHQYeIn//0jv2JQcBn7lx9XiusexecA8tIfD0v4azToRnceyDLxpg==" saltValue="veN/4lxJxUhRTPUpyo0T7g==" spinCount="100000" sheet="1" objects="1" scenarios="1"/>
  <mergeCells count="23">
    <mergeCell ref="I9:I11"/>
    <mergeCell ref="D9:D11"/>
    <mergeCell ref="E9:E11"/>
    <mergeCell ref="F9:F11"/>
    <mergeCell ref="G9:G11"/>
    <mergeCell ref="H9:H11"/>
    <mergeCell ref="J9:J11"/>
    <mergeCell ref="K9:K11"/>
    <mergeCell ref="L9:L11"/>
    <mergeCell ref="M9:M11"/>
    <mergeCell ref="N9:N11"/>
    <mergeCell ref="AA9:AC9"/>
    <mergeCell ref="AA10:AC10"/>
    <mergeCell ref="Z9:Z11"/>
    <mergeCell ref="O10:Q10"/>
    <mergeCell ref="R10:R11"/>
    <mergeCell ref="S9:S11"/>
    <mergeCell ref="T9:T11"/>
    <mergeCell ref="U9:U11"/>
    <mergeCell ref="V9:V11"/>
    <mergeCell ref="W9:X10"/>
    <mergeCell ref="Y9:Y11"/>
    <mergeCell ref="O9:R9"/>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22" width="20.7109375" customWidth="1"/>
    <col min="23" max="24" width="20.7109375" hidden="1" customWidth="1"/>
    <col min="25"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12" t="s">
        <v>119</v>
      </c>
      <c r="E9" s="612" t="s">
        <v>34</v>
      </c>
      <c r="F9" s="612" t="s">
        <v>376</v>
      </c>
      <c r="G9" s="609" t="s">
        <v>118</v>
      </c>
      <c r="H9" s="564" t="s">
        <v>1</v>
      </c>
      <c r="I9" s="609" t="s">
        <v>368</v>
      </c>
      <c r="J9" s="564" t="s">
        <v>3</v>
      </c>
      <c r="K9" s="564" t="s">
        <v>4</v>
      </c>
      <c r="L9" s="564" t="s">
        <v>5</v>
      </c>
      <c r="M9" s="564" t="s">
        <v>6</v>
      </c>
      <c r="N9" s="564" t="s">
        <v>7</v>
      </c>
      <c r="O9" s="564" t="s">
        <v>8</v>
      </c>
      <c r="P9" s="564"/>
      <c r="Q9" s="564"/>
      <c r="R9" s="564"/>
      <c r="S9" s="564" t="s">
        <v>9</v>
      </c>
      <c r="T9" s="612" t="s">
        <v>447</v>
      </c>
      <c r="U9" s="612" t="s">
        <v>120</v>
      </c>
      <c r="V9" s="564" t="s">
        <v>89</v>
      </c>
      <c r="W9" s="564" t="s">
        <v>12</v>
      </c>
      <c r="X9" s="564"/>
      <c r="Y9" s="564" t="s">
        <v>14</v>
      </c>
      <c r="Z9" s="524" t="s">
        <v>441</v>
      </c>
      <c r="AA9" s="600" t="s">
        <v>708</v>
      </c>
      <c r="AB9" s="601"/>
      <c r="AC9" s="602"/>
      <c r="AG9" s="63" t="s">
        <v>348</v>
      </c>
      <c r="AV9" t="s">
        <v>34</v>
      </c>
    </row>
    <row r="10" spans="4:57" ht="31.5" customHeight="1">
      <c r="D10" s="610"/>
      <c r="E10" s="610"/>
      <c r="F10" s="610"/>
      <c r="G10" s="537"/>
      <c r="H10" s="564"/>
      <c r="I10" s="610"/>
      <c r="J10" s="564"/>
      <c r="K10" s="564"/>
      <c r="L10" s="564"/>
      <c r="M10" s="564"/>
      <c r="N10" s="564"/>
      <c r="O10" s="564" t="s">
        <v>15</v>
      </c>
      <c r="P10" s="564"/>
      <c r="Q10" s="564"/>
      <c r="R10" s="564" t="s">
        <v>16</v>
      </c>
      <c r="S10" s="564"/>
      <c r="T10" s="610"/>
      <c r="U10" s="574"/>
      <c r="V10" s="564"/>
      <c r="W10" s="564"/>
      <c r="X10" s="564"/>
      <c r="Y10" s="564"/>
      <c r="Z10" s="564"/>
      <c r="AA10" s="531" t="s">
        <v>709</v>
      </c>
      <c r="AB10" s="532"/>
      <c r="AC10" s="533"/>
      <c r="AG10" s="63" t="s">
        <v>339</v>
      </c>
      <c r="AV10" t="s">
        <v>379</v>
      </c>
    </row>
    <row r="11" spans="4:57" ht="45">
      <c r="D11" s="611"/>
      <c r="E11" s="611"/>
      <c r="F11" s="611"/>
      <c r="G11" s="523"/>
      <c r="H11" s="564"/>
      <c r="I11" s="611"/>
      <c r="J11" s="564"/>
      <c r="K11" s="564"/>
      <c r="L11" s="564"/>
      <c r="M11" s="564"/>
      <c r="N11" s="564"/>
      <c r="O11" s="40" t="s">
        <v>17</v>
      </c>
      <c r="P11" s="40" t="s">
        <v>18</v>
      </c>
      <c r="Q11" s="40" t="s">
        <v>19</v>
      </c>
      <c r="R11" s="564"/>
      <c r="S11" s="564"/>
      <c r="T11" s="611"/>
      <c r="U11" s="575"/>
      <c r="V11" s="564"/>
      <c r="W11" s="40" t="s">
        <v>20</v>
      </c>
      <c r="X11" s="40" t="s">
        <v>21</v>
      </c>
      <c r="Y11" s="564"/>
      <c r="Z11" s="564"/>
      <c r="AA11" s="400" t="s">
        <v>710</v>
      </c>
      <c r="AB11" s="400" t="s">
        <v>711</v>
      </c>
      <c r="AC11" s="400" t="s">
        <v>712</v>
      </c>
      <c r="AG11" s="63" t="s">
        <v>344</v>
      </c>
    </row>
    <row r="12" spans="4:57" ht="15.7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M9SsfmbQLAp3Nse0c8+IK0ooDbqgdGvusFCz9kPrFg1/0fRtLsZXR3hd2GR/Gar/BzoyjiKGKYDXpXa2ZYTIUg==" saltValue="LM4LI6wykyR02v+4q5JSWw==" spinCount="100000" sheet="1" objects="1" scenarios="1"/>
  <mergeCells count="23">
    <mergeCell ref="R10:R11"/>
    <mergeCell ref="D9:D11"/>
    <mergeCell ref="E9:E11"/>
    <mergeCell ref="F9:F11"/>
    <mergeCell ref="H9:H11"/>
    <mergeCell ref="I9:I11"/>
    <mergeCell ref="G9:G11"/>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695</v>
      </c>
      <c r="F12" s="385"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hec88sKu+u6usGu4t+bG55NsuhE+d/OmTOGlOc2WQcfq24szWDX0CzhnO3wu1nzud+W/RAA1mm6TVmqVMl0/gA==" saltValue="Bqs8SloakmXGU94BcrFrd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692</v>
      </c>
      <c r="F12" s="385"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nWwIqTRKmOFiRFxh3SSzM5K5L5EGxuwT+Ct5oj0qwzEtx9/WGxSj/FK1J/Llw5rHI5gzvPXmM5QT+/BKssKbDw==" saltValue="XuRHPTVT9RHajr7gh2xp2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690</v>
      </c>
      <c r="F12" s="385"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WubU4qllsi6NxBfEsFkkiIBe9lmLdiORQlJUUekA5SJp1upUiepuLlStyKPXOVUez3Jm+b72PtkPQw5z7uYwJA==" saltValue="eMWSJIxSDE6wN1rCQ1YPm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R11" t="s">
        <v>347</v>
      </c>
    </row>
    <row r="12" spans="5:44" ht="20.25" customHeight="1">
      <c r="E12" s="9" t="s">
        <v>689</v>
      </c>
      <c r="F12" s="385"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78r6M57Gv8aOJJ4OjVnPsphO3XQlTK74aZLv8YuO08qMxnRg65kD2Y32vC1wjDL70PX9nR7nujJQgfiwkEXkQw==" saltValue="BeSy4VoDd8GnwvxBoHGRx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4" sqref="F14"/>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R11" t="s">
        <v>347</v>
      </c>
    </row>
    <row r="12" spans="5:44" ht="20.25" customHeight="1">
      <c r="E12" s="9" t="s">
        <v>688</v>
      </c>
      <c r="F12" s="385"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ckvxMrZd7CLBUk2EDLme7vFHpwhIxHHuFzah8oY+FHMFTflv850a6+7PEg6wJbtdyLG1u/Oh921BYx6eRWzTNQ==" saltValue="1fui3RsIRS4xd6tcN8htJ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7.140625" customWidth="1"/>
    <col min="29" max="29" width="7.140625" hidden="1" customWidth="1"/>
    <col min="30" max="44" width="0" hidden="1" customWidth="1"/>
    <col min="45"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72" t="s">
        <v>17</v>
      </c>
      <c r="N11" s="372" t="s">
        <v>18</v>
      </c>
      <c r="O11" s="372" t="s">
        <v>19</v>
      </c>
      <c r="P11" s="564"/>
      <c r="Q11" s="611"/>
      <c r="R11" s="564"/>
      <c r="S11" s="611"/>
      <c r="T11" s="564"/>
      <c r="U11" s="372" t="s">
        <v>20</v>
      </c>
      <c r="V11" s="372" t="s">
        <v>21</v>
      </c>
      <c r="W11" s="564"/>
      <c r="X11" s="564"/>
      <c r="Y11" s="400" t="s">
        <v>710</v>
      </c>
      <c r="Z11" s="400" t="s">
        <v>711</v>
      </c>
      <c r="AA11" s="400" t="s">
        <v>712</v>
      </c>
      <c r="AR11" t="s">
        <v>347</v>
      </c>
    </row>
    <row r="12" spans="5:44" ht="20.25" customHeight="1">
      <c r="E12" s="9" t="s">
        <v>687</v>
      </c>
      <c r="F12" s="374"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3"/>
      <c r="G15" s="373"/>
      <c r="H15" s="373"/>
      <c r="I15" s="373"/>
      <c r="J15" s="373"/>
      <c r="K15" s="373"/>
      <c r="L15" s="373"/>
      <c r="M15" s="373"/>
      <c r="N15" s="373"/>
      <c r="O15" s="373"/>
      <c r="P15" s="373"/>
      <c r="Q15" s="373"/>
      <c r="R15" s="373"/>
      <c r="S15" s="373"/>
      <c r="T15" s="373"/>
      <c r="U15" s="373"/>
      <c r="V15" s="37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5MPIURaOcsPRyz83YdOK2NFpdDX5PvxhXBsPiR/h+YGp/78x8Lehq+0i02jBDY2u+qjYHEtNQVONz6q3bX3Qgg==" saltValue="1SSWNlTeivdk42mTqME3g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2" t="s">
        <v>119</v>
      </c>
      <c r="F9" s="524" t="s">
        <v>118</v>
      </c>
      <c r="G9" s="564" t="s">
        <v>1</v>
      </c>
      <c r="H9" s="524" t="s">
        <v>3</v>
      </c>
      <c r="I9" s="564" t="s">
        <v>4</v>
      </c>
      <c r="J9" s="564" t="s">
        <v>5</v>
      </c>
      <c r="K9" s="564" t="s">
        <v>6</v>
      </c>
      <c r="L9" s="564" t="s">
        <v>7</v>
      </c>
      <c r="M9" s="564" t="s">
        <v>8</v>
      </c>
      <c r="N9" s="564"/>
      <c r="O9" s="564"/>
      <c r="P9" s="564"/>
      <c r="Q9" s="612" t="s">
        <v>447</v>
      </c>
      <c r="R9" s="564" t="s">
        <v>10</v>
      </c>
      <c r="S9" s="612" t="s">
        <v>116</v>
      </c>
      <c r="T9" s="564" t="s">
        <v>89</v>
      </c>
      <c r="U9" s="564" t="s">
        <v>12</v>
      </c>
      <c r="V9" s="564"/>
      <c r="W9" s="564" t="s">
        <v>14</v>
      </c>
      <c r="X9" s="524" t="s">
        <v>441</v>
      </c>
      <c r="Y9" s="600" t="s">
        <v>708</v>
      </c>
      <c r="Z9" s="601"/>
      <c r="AA9" s="602"/>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611"/>
      <c r="R11" s="564"/>
      <c r="S11" s="611"/>
      <c r="T11" s="564"/>
      <c r="U11" s="40" t="s">
        <v>20</v>
      </c>
      <c r="V11" s="40" t="s">
        <v>21</v>
      </c>
      <c r="W11" s="564"/>
      <c r="X11" s="564"/>
      <c r="Y11" s="400" t="s">
        <v>710</v>
      </c>
      <c r="Z11" s="400" t="s">
        <v>711</v>
      </c>
      <c r="AA11" s="400"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GecNdWbXJqvC4Ek45oee2XtRQDMfMzmVhu4eGHbBiqKEgn+7MZyHeXkGpbPqkrSMiDC4bET0wLbEy99Dx8GUyg==" saltValue="zI4yBlQXMaZYciQuG2vZ7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5.42578125" customWidth="1"/>
    <col min="29" max="29" width="2.140625" hidden="1"/>
    <col min="30" max="16383" width="1.28515625" hidden="1"/>
    <col min="16384" max="16384" width="5.42578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algorithmName="SHA-512" hashValue="oMhjKE1Md5gPGnZ259NCiK8AAyXvf9+/Dt0gg/jVDheKXWGhZ2f6sVJk5PL19zHUccpN+FMch3IMlpM/HB8SNw==" saltValue="+0P2exL79GwJQcyCEHo+N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8"/>
  <sheetViews>
    <sheetView showGridLines="0" topLeftCell="A7" zoomScale="90" zoomScaleNormal="90" workbookViewId="0">
      <selection activeCell="F18" sqref="F18"/>
    </sheetView>
  </sheetViews>
  <sheetFormatPr defaultColWidth="0" defaultRowHeight="15"/>
  <cols>
    <col min="1" max="1" width="2" customWidth="1"/>
    <col min="2" max="2" width="1.5703125" customWidth="1"/>
    <col min="3" max="3" width="1.7109375" customWidth="1"/>
    <col min="4" max="4" width="2.28515625" customWidth="1"/>
    <col min="5" max="5" width="9.57031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2.42578125" customWidth="1"/>
    <col min="29" max="16383" width="5.42578125" hidden="1"/>
    <col min="16384" max="16384" width="2.42578125" hidden="1"/>
  </cols>
  <sheetData>
    <row r="1" spans="5:29" hidden="1">
      <c r="I1">
        <v>2</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8" customFormat="1" ht="20.100000000000001"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453" t="s">
        <v>878</v>
      </c>
      <c r="G15" s="448" t="s">
        <v>879</v>
      </c>
      <c r="H15" s="47">
        <v>8156563</v>
      </c>
      <c r="I15" s="47"/>
      <c r="J15" s="47"/>
      <c r="K15" s="446">
        <f>+IFERROR(IF(COUNT(H15:J15),ROUND(SUM(H15:J15),0),""),"")</f>
        <v>8156563</v>
      </c>
      <c r="L15" s="51">
        <f>+IFERROR(IF(COUNT(K15),ROUND(K15/'Shareholding Pattern'!$L$78*100,2),""),"")</f>
        <v>5.9</v>
      </c>
      <c r="M15" s="203">
        <v>8156563</v>
      </c>
      <c r="N15" s="203"/>
      <c r="O15" s="266">
        <f>+IFERROR(IF(COUNT(M15:N15),ROUND(SUM(M15,N15),2),""),"")</f>
        <v>8156563</v>
      </c>
      <c r="P15" s="51">
        <f>+IFERROR(IF(COUNT(O15),ROUND(O15/('Shareholding Pattern'!$P$79)*100,2),""),"")</f>
        <v>5.9</v>
      </c>
      <c r="Q15" s="47">
        <v>1618</v>
      </c>
      <c r="R15" s="47">
        <v>0</v>
      </c>
      <c r="S15" s="446">
        <f>+IFERROR(IF(COUNT(Q15:R15),ROUND(SUM(Q15:R15),0),""),"")</f>
        <v>1618</v>
      </c>
      <c r="T15" s="51">
        <f>+IFERROR(IF(COUNT(K15,S15),ROUND(SUM(S15,K15)/SUM('Shareholding Pattern'!$L$78,'Shareholding Pattern'!$T$78)*100,2),""),"")</f>
        <v>5.51</v>
      </c>
      <c r="U15" s="47"/>
      <c r="V15" s="17" t="str">
        <f>+IFERROR(IF(COUNT(U15),ROUND(SUM(U15)/SUM(K15)*100,2),""),0)</f>
        <v/>
      </c>
      <c r="W15" s="47">
        <v>8156563</v>
      </c>
      <c r="X15" s="265"/>
      <c r="Y15" s="47">
        <v>0</v>
      </c>
      <c r="Z15" s="47">
        <v>0</v>
      </c>
      <c r="AA15" s="47">
        <v>0</v>
      </c>
      <c r="AB15" s="11"/>
      <c r="AC15" s="11" t="e">
        <f>SUM(#REF!)</f>
        <v>#REF!</v>
      </c>
    </row>
    <row r="16" spans="5:29" ht="24.95" customHeight="1">
      <c r="E16" s="191">
        <v>2</v>
      </c>
      <c r="F16" s="453" t="s">
        <v>880</v>
      </c>
      <c r="G16" s="448" t="s">
        <v>881</v>
      </c>
      <c r="H16" s="47">
        <v>2286792</v>
      </c>
      <c r="I16" s="47"/>
      <c r="J16" s="47"/>
      <c r="K16" s="446">
        <f>+IFERROR(IF(COUNT(H16:J16),ROUND(SUM(H16:J16),0),""),"")</f>
        <v>2286792</v>
      </c>
      <c r="L16" s="51">
        <f>+IFERROR(IF(COUNT(K16),ROUND(K16/'Shareholding Pattern'!$L$78*100,2),""),"")</f>
        <v>1.65</v>
      </c>
      <c r="M16" s="203">
        <v>2286792</v>
      </c>
      <c r="N16" s="203"/>
      <c r="O16" s="266">
        <f>+IFERROR(IF(COUNT(M16:N16),ROUND(SUM(M16,N16),2),""),"")</f>
        <v>2286792</v>
      </c>
      <c r="P16" s="51">
        <f>+IFERROR(IF(COUNT(O16),ROUND(O16/('Shareholding Pattern'!$P$79)*100,2),""),"")</f>
        <v>1.65</v>
      </c>
      <c r="Q16" s="47">
        <v>0</v>
      </c>
      <c r="R16" s="47">
        <v>0</v>
      </c>
      <c r="S16" s="446">
        <f>+IFERROR(IF(COUNT(Q16:R16),ROUND(SUM(Q16:R16),0),""),"")</f>
        <v>0</v>
      </c>
      <c r="T16" s="51">
        <f>+IFERROR(IF(COUNT(K16,S16),ROUND(SUM(S16,K16)/SUM('Shareholding Pattern'!$L$78,'Shareholding Pattern'!$T$78)*100,2),""),"")</f>
        <v>1.54</v>
      </c>
      <c r="U16" s="47"/>
      <c r="V16" s="17" t="str">
        <f>+IFERROR(IF(COUNT(U16),ROUND(SUM(U16)/SUM(K16)*100,2),""),0)</f>
        <v/>
      </c>
      <c r="W16" s="47">
        <v>2286792</v>
      </c>
      <c r="X16" s="265"/>
      <c r="Y16" s="47">
        <v>0</v>
      </c>
      <c r="Z16" s="47">
        <v>0</v>
      </c>
      <c r="AA16" s="47">
        <v>0</v>
      </c>
      <c r="AB16" s="11"/>
      <c r="AC16" s="11" t="e">
        <f>SUM(#REF!)</f>
        <v>#REF!</v>
      </c>
    </row>
    <row r="17" spans="5:27" hidden="1">
      <c r="E17" s="12"/>
      <c r="F17" s="13"/>
      <c r="G17" s="13"/>
      <c r="H17" s="13"/>
      <c r="I17" s="13"/>
      <c r="J17" s="13"/>
      <c r="K17" s="13"/>
      <c r="L17" s="13"/>
      <c r="M17" s="13"/>
      <c r="N17" s="13"/>
      <c r="O17" s="13"/>
      <c r="P17" s="13"/>
      <c r="Q17" s="13"/>
      <c r="R17" s="13"/>
      <c r="S17" s="13"/>
      <c r="T17" s="13"/>
      <c r="U17" s="13"/>
      <c r="V17" s="13"/>
      <c r="W17" s="55"/>
      <c r="X17" s="55"/>
      <c r="Y17" s="55"/>
      <c r="Z17" s="55"/>
      <c r="AA17" s="194"/>
    </row>
    <row r="18" spans="5:27" ht="20.100000000000001" customHeight="1">
      <c r="E18" s="37"/>
      <c r="F18" s="83" t="s">
        <v>392</v>
      </c>
      <c r="G18" s="70" t="s">
        <v>19</v>
      </c>
      <c r="H18" s="53">
        <f>+IFERROR(IF(COUNT(H14:H17),ROUND(SUM(H14:H17),0),""),"")</f>
        <v>10443355</v>
      </c>
      <c r="I18" s="53" t="str">
        <f>+IFERROR(IF(COUNT(I14:I17),ROUND(SUM(I14:I17),0),""),"")</f>
        <v/>
      </c>
      <c r="J18" s="53" t="str">
        <f>+IFERROR(IF(COUNT(J14:J17),ROUND(SUM(J14:J17),0),""),"")</f>
        <v/>
      </c>
      <c r="K18" s="53">
        <f>+IFERROR(IF(COUNT(K14:K17),ROUND(SUM(K14:K17),0),""),"")</f>
        <v>10443355</v>
      </c>
      <c r="L18" s="17">
        <f>+IFERROR(IF(COUNT(K18),ROUND(K18/'Shareholding Pattern'!$L$78*100,2),""),"")</f>
        <v>7.55</v>
      </c>
      <c r="M18" s="35">
        <f>+IFERROR(IF(COUNT(M14:M17),ROUND(SUM(M14:M17),0),""),"")</f>
        <v>10443355</v>
      </c>
      <c r="N18" s="35" t="str">
        <f>+IFERROR(IF(COUNT(N14:N17),ROUND(SUM(N14:N17),0),""),"")</f>
        <v/>
      </c>
      <c r="O18" s="35">
        <f>+IFERROR(IF(COUNT(O14:O17),ROUND(SUM(O14:O17),0),""),"")</f>
        <v>10443355</v>
      </c>
      <c r="P18" s="17">
        <f>+IFERROR(IF(COUNT(O18),ROUND(O18/('Shareholding Pattern'!$P$79)*100,2),""),"")</f>
        <v>7.55</v>
      </c>
      <c r="Q18" s="53">
        <f>+IFERROR(IF(COUNT(Q14:Q17),ROUND(SUM(Q14:Q17),0),""),"")</f>
        <v>1618</v>
      </c>
      <c r="R18" s="53">
        <f>+IFERROR(IF(COUNT(R14:R17),ROUND(SUM(R14:R17),0),""),"")</f>
        <v>0</v>
      </c>
      <c r="S18" s="53">
        <f>+IFERROR(IF(COUNT(S14:S17),ROUND(SUM(S14:S17),0),""),"")</f>
        <v>1618</v>
      </c>
      <c r="T18" s="17">
        <f>+IFERROR(IF(COUNT(K18,S18),ROUND(SUM(S18,K18)/SUM('Shareholding Pattern'!$L$78,'Shareholding Pattern'!$T$78)*100,2),""),"")</f>
        <v>7.05</v>
      </c>
      <c r="U18" s="53" t="str">
        <f>+IFERROR(IF(COUNT(U14:U17),ROUND(SUM(U14:U17),0),""),"")</f>
        <v/>
      </c>
      <c r="V18" s="17" t="str">
        <f>+IFERROR(IF(COUNT(U18),ROUND(SUM(U18)/SUM(K18)*100,2),""),0)</f>
        <v/>
      </c>
      <c r="W18" s="53">
        <f>+IFERROR(IF(COUNT(W14:W17),ROUND(SUM(W14:W17),0),""),"")</f>
        <v>10443355</v>
      </c>
      <c r="X18" s="407"/>
      <c r="Y18" s="53">
        <f>+IFERROR(IF(COUNT(Y14:Y17),ROUND(SUM(Y14:Y17),0),""),"")</f>
        <v>0</v>
      </c>
      <c r="Z18" s="53">
        <f>+IFERROR(IF(COUNT(Z14:Z17),ROUND(SUM(Z14:Z17),0),""),"")</f>
        <v>0</v>
      </c>
      <c r="AA18" s="53">
        <f>+IFERROR(IF(COUNT(AA14:AA17),ROUND(SUM(AA14:AA17),0),""),"")</f>
        <v>0</v>
      </c>
    </row>
  </sheetData>
  <sheetProtection algorithmName="SHA-512" hashValue="tb0pCBciZoLsMVEQ2jXhoHjceQLc3t9QswsmdKQhyA8E15lN5Qp6dzoLjOEnsvdQyRqfj0Vb1xPypSXf5FuRrw==" saltValue="VffZygp94Gh9rJGvytZNAw==" spinCount="100000" sheet="1" objects="1" scenarios="1"/>
  <dataConsolidate/>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U15:U16">
      <formula1>H13</formula1>
    </dataValidation>
    <dataValidation type="whole" operator="lessThanOrEqual" allowBlank="1" showInputMessage="1" showErrorMessage="1" sqref="W13 W15:W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Q13:R13 M13:N13 H13:J13 M15:N16 H15:J16 Q15:R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6">
      <formula1>K13</formula1>
    </dataValidation>
  </dataValidations>
  <hyperlinks>
    <hyperlink ref="G18" location="'Shareholding Pattern'!F44" display="Total"/>
    <hyperlink ref="F18"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4.5703125" customWidth="1"/>
    <col min="29" max="16383" width="4.85546875" hidden="1"/>
    <col min="16384" max="16384" width="4.57031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30" s="8" customFormat="1" ht="20.100000000000001"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algorithmName="SHA-512" hashValue="AMvCCNVd6QbHXcFtDw7SMGCQYni5y9GH2Uz7I76NlaWbishhflKWF1RGHKO48XFIk1d+imSZt90+fPkOSf2mEg==" saltValue="lMGWm3yLewtpLjrvmJvBVg=="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row>
    <row r="11" spans="5:30"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4.95" customHeight="1">
      <c r="E14" s="42"/>
      <c r="F14" s="43"/>
      <c r="G14" s="247" t="s">
        <v>436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algorithmName="SHA-512" hashValue="n2dBfKjaPTsmMRsHA7XJmApqBBfmX0fzFFL3KDrBkO3idDwHlIchDMXJmuU7rxJd/m02H9ntaSvUBDHrgPWO5A==" saltValue="7HyOa9WrRx6sYEE+SAiiyw==" spinCount="100000"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0" width="20.7109375" customWidth="1"/>
    <col min="21" max="22" width="20.7109375" hidden="1" customWidth="1"/>
    <col min="23" max="27" width="20.7109375" customWidth="1"/>
    <col min="28" max="28" width="9.140625" customWidth="1"/>
    <col min="29" max="16383" width="3.7109375" hidden="1"/>
    <col min="16384" max="16384" width="9.1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2" t="s">
        <v>119</v>
      </c>
      <c r="F9" s="564" t="s">
        <v>118</v>
      </c>
      <c r="G9" s="564" t="s">
        <v>1</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c r="Y9" s="600" t="s">
        <v>708</v>
      </c>
      <c r="Z9" s="601"/>
      <c r="AA9" s="602"/>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ht="15.7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algorithmName="SHA-512" hashValue="mPeLBENqE7QbELPJCq7lMyEDn78MncOf25WRwGyTe9MUwgP8Afeo1dO7DQ7WtkWeuhQ/DoVcCjkCW+/WSHeF5w==" saltValue="JfTT/ODcekLC+efGVpyqUQ=="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3"/>
  <sheetViews>
    <sheetView showGridLines="0" zoomScale="70" zoomScaleNormal="70" workbookViewId="0">
      <pane xSplit="3" ySplit="14" topLeftCell="G15" activePane="bottomRight" state="frozen"/>
      <selection activeCell="A7" sqref="A7"/>
      <selection pane="topRight" activeCell="D7" sqref="D7"/>
      <selection pane="bottomLeft" activeCell="A15" sqref="A15"/>
      <selection pane="bottomRight" activeCell="G20" sqref="G20"/>
    </sheetView>
  </sheetViews>
  <sheetFormatPr defaultColWidth="0" defaultRowHeight="15"/>
  <cols>
    <col min="1" max="1" width="2.28515625" customWidth="1"/>
    <col min="2" max="2" width="2.140625" customWidth="1"/>
    <col min="3" max="3" width="2" customWidth="1"/>
    <col min="4" max="4" width="7.140625" customWidth="1"/>
    <col min="5" max="5" width="42.85546875" customWidth="1"/>
    <col min="6" max="6" width="46.5703125" customWidth="1"/>
    <col min="7" max="7" width="40" customWidth="1"/>
    <col min="8" max="8" width="13.7109375" customWidth="1"/>
    <col min="9" max="10" width="20.7109375" customWidth="1"/>
    <col min="11" max="12" width="20.7109375" hidden="1" customWidth="1"/>
    <col min="13" max="15" width="20.7109375" customWidth="1"/>
    <col min="16" max="16" width="20.7109375" hidden="1" customWidth="1"/>
    <col min="17" max="22" width="20.7109375" customWidth="1"/>
    <col min="23" max="24" width="20.7109375" hidden="1" customWidth="1"/>
    <col min="25" max="29" width="20.7109375" customWidth="1"/>
    <col min="30" max="31" width="1.85546875" customWidth="1"/>
    <col min="32" max="16383" width="2.5703125" hidden="1"/>
    <col min="16384" max="16384" width="1.85546875" hidden="1"/>
  </cols>
  <sheetData>
    <row r="1" spans="4:54" hidden="1">
      <c r="I1">
        <v>4</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+IFERROR(IF(COUNT(I13:I19),ROUND(SUMIF($F$13:I19,"Category",I13:I19),0),""),"")</f>
        <v>106</v>
      </c>
      <c r="J3">
        <f ca="1">+IFERROR(IF(COUNT(J13:J19),ROUND(SUMIF($F$13:J19,"Category",J13:J19),0),""),"")</f>
        <v>2969190</v>
      </c>
      <c r="K3" t="str">
        <f>+IFERROR(IF(COUNT(K13:K19),ROUND(SUMIF($F$13:K19,"Category",K13:K19),0),""),"")</f>
        <v/>
      </c>
      <c r="L3" t="str">
        <f>+IFERROR(IF(COUNT(L13:L19),ROUND(SUMIF($F$13:L19,"Category",L13:L19),0),""),"")</f>
        <v/>
      </c>
      <c r="M3">
        <f ca="1">+IFERROR(IF(COUNT(M13:M19),ROUND(SUMIF($F$13:M19,"Category",M13:M19),0),""),"")</f>
        <v>2969190</v>
      </c>
      <c r="N3">
        <f ca="1">+IFERROR(IF(COUNT(N13:N19),ROUND(SUMIF($F$13:N19,"Category",N13:N19),2),""),"")</f>
        <v>2.14</v>
      </c>
      <c r="O3">
        <f ca="1">+IFERROR(IF(COUNT(O13:O19),ROUND(SUMIF($F$13:O19,"Category",O13:O19),0),""),"")</f>
        <v>2969190</v>
      </c>
      <c r="P3" t="str">
        <f>+IFERROR(IF(COUNT(P13:P19),ROUND(SUMIF($F$13:P19,"Category",P13:P19),0),""),"")</f>
        <v/>
      </c>
      <c r="Q3">
        <f ca="1">+IFERROR(IF(COUNT(Q13:Q19),ROUND(SUMIF($F$13:Q19,"Category",Q13:Q19),0),""),"")</f>
        <v>2969190</v>
      </c>
      <c r="R3">
        <f ca="1">+IFERROR(IF(COUNT(R13:R19),ROUND(SUMIF($F$13:R19,"Category",R13:R19),2),""),"")</f>
        <v>2.14</v>
      </c>
      <c r="S3">
        <f ca="1">+IFERROR(IF(COUNT(S13:S19),ROUND(SUMIF($F$13:S19,"Category",S13:S19),0),""),"")</f>
        <v>23698</v>
      </c>
      <c r="T3">
        <f ca="1">+IFERROR(IF(COUNT(T13:T19),ROUND(SUMIF($F$13:T19,"Category",T13:T19),0),""),"")</f>
        <v>1075000</v>
      </c>
      <c r="U3">
        <f ca="1">+IFERROR(IF(COUNT(U13:U19),ROUND(SUMIF($F$13:U19,"Category",U13:U19),0),""),"")</f>
        <v>1098698</v>
      </c>
      <c r="V3">
        <f ca="1">+IFERROR(IF(COUNT(V13:V19),ROUND(SUMIF($F$13:V19,"Category",V13:V19),2),""),"")</f>
        <v>2.75</v>
      </c>
      <c r="W3" t="str">
        <f>+IFERROR(IF(COUNT(W13:W19),ROUND(SUMIF($F$13:W19,"Category",W13:W19),0),""),"")</f>
        <v/>
      </c>
      <c r="X3" t="str">
        <f>+IFERROR(IF(COUNT(X13:X19),ROUND(SUMIF($F$13:X19,"Category",X13:X19),2),""),"")</f>
        <v/>
      </c>
      <c r="Y3">
        <f ca="1">+IFERROR(IF(COUNT(Y13:Y19),ROUND(SUMIF($F$13:Y19,"Category",Y13:Y19),0),""),"")</f>
        <v>2969190</v>
      </c>
    </row>
    <row r="4" spans="4:54" hidden="1"/>
    <row r="5" spans="4:54" hidden="1"/>
    <row r="6" spans="4:54" hidden="1"/>
    <row r="9" spans="4:54" ht="29.25" customHeight="1">
      <c r="D9" s="612" t="s">
        <v>119</v>
      </c>
      <c r="E9" s="612" t="s">
        <v>34</v>
      </c>
      <c r="F9" s="612" t="s">
        <v>376</v>
      </c>
      <c r="G9" s="609" t="s">
        <v>118</v>
      </c>
      <c r="H9" s="564" t="s">
        <v>1</v>
      </c>
      <c r="I9" s="609" t="s">
        <v>368</v>
      </c>
      <c r="J9" s="564" t="s">
        <v>3</v>
      </c>
      <c r="K9" s="564" t="s">
        <v>4</v>
      </c>
      <c r="L9" s="564" t="s">
        <v>5</v>
      </c>
      <c r="M9" s="564" t="s">
        <v>6</v>
      </c>
      <c r="N9" s="564" t="s">
        <v>7</v>
      </c>
      <c r="O9" s="564" t="s">
        <v>8</v>
      </c>
      <c r="P9" s="564"/>
      <c r="Q9" s="564"/>
      <c r="R9" s="564"/>
      <c r="S9" s="564" t="s">
        <v>9</v>
      </c>
      <c r="T9" s="612" t="s">
        <v>447</v>
      </c>
      <c r="U9" s="612" t="s">
        <v>116</v>
      </c>
      <c r="V9" s="564" t="s">
        <v>89</v>
      </c>
      <c r="W9" s="564" t="s">
        <v>12</v>
      </c>
      <c r="X9" s="564"/>
      <c r="Y9" s="564" t="s">
        <v>14</v>
      </c>
      <c r="Z9" s="524" t="s">
        <v>441</v>
      </c>
      <c r="AA9" s="600" t="s">
        <v>708</v>
      </c>
      <c r="AB9" s="601"/>
      <c r="AC9" s="602"/>
      <c r="AV9" t="s">
        <v>34</v>
      </c>
    </row>
    <row r="10" spans="4:54" ht="31.5" customHeight="1">
      <c r="D10" s="610"/>
      <c r="E10" s="610"/>
      <c r="F10" s="610"/>
      <c r="G10" s="537"/>
      <c r="H10" s="564"/>
      <c r="I10" s="610"/>
      <c r="J10" s="564"/>
      <c r="K10" s="564"/>
      <c r="L10" s="564"/>
      <c r="M10" s="564"/>
      <c r="N10" s="564"/>
      <c r="O10" s="564" t="s">
        <v>15</v>
      </c>
      <c r="P10" s="564"/>
      <c r="Q10" s="564"/>
      <c r="R10" s="564" t="s">
        <v>16</v>
      </c>
      <c r="S10" s="564"/>
      <c r="T10" s="610"/>
      <c r="U10" s="610"/>
      <c r="V10" s="564"/>
      <c r="W10" s="564"/>
      <c r="X10" s="564"/>
      <c r="Y10" s="564"/>
      <c r="Z10" s="564"/>
      <c r="AA10" s="531" t="s">
        <v>709</v>
      </c>
      <c r="AB10" s="532"/>
      <c r="AC10" s="533"/>
      <c r="AV10" t="s">
        <v>379</v>
      </c>
    </row>
    <row r="11" spans="4:54" ht="45">
      <c r="D11" s="611"/>
      <c r="E11" s="611"/>
      <c r="F11" s="611"/>
      <c r="G11" s="523"/>
      <c r="H11" s="564"/>
      <c r="I11" s="611"/>
      <c r="J11" s="564"/>
      <c r="K11" s="564"/>
      <c r="L11" s="564"/>
      <c r="M11" s="564"/>
      <c r="N11" s="564"/>
      <c r="O11" s="40" t="s">
        <v>17</v>
      </c>
      <c r="P11" s="40" t="s">
        <v>18</v>
      </c>
      <c r="Q11" s="40" t="s">
        <v>19</v>
      </c>
      <c r="R11" s="564"/>
      <c r="S11" s="564"/>
      <c r="T11" s="611"/>
      <c r="U11" s="611"/>
      <c r="V11" s="564"/>
      <c r="W11" s="40" t="s">
        <v>20</v>
      </c>
      <c r="X11" s="40" t="s">
        <v>21</v>
      </c>
      <c r="Y11" s="564"/>
      <c r="Z11" s="564"/>
      <c r="AA11" s="400" t="s">
        <v>710</v>
      </c>
      <c r="AB11" s="400" t="s">
        <v>711</v>
      </c>
      <c r="AC11" s="400"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t="24.75" customHeight="1">
      <c r="D15" s="89">
        <v>1</v>
      </c>
      <c r="E15" s="456" t="s">
        <v>572</v>
      </c>
      <c r="F15" s="456" t="s">
        <v>34</v>
      </c>
      <c r="G15" s="270"/>
      <c r="H15" s="445"/>
      <c r="I15" s="47">
        <v>10</v>
      </c>
      <c r="J15" s="47">
        <v>1383547</v>
      </c>
      <c r="K15" s="47"/>
      <c r="L15" s="47"/>
      <c r="M15" s="457">
        <f>+IFERROR(IF(COUNT(J15:L15),ROUND(SUM(J15:L15),0),""),"")</f>
        <v>1383547</v>
      </c>
      <c r="N15" s="222">
        <f>+IFERROR(IF(COUNT(M15),ROUND(M15/'Shareholding Pattern'!$L$78*100,2),""),"")</f>
        <v>1</v>
      </c>
      <c r="O15" s="47">
        <v>1383547</v>
      </c>
      <c r="P15" s="47"/>
      <c r="Q15" s="457">
        <f>+IFERROR(IF(COUNT(O15:P15),ROUND(SUM(O15,P15),2),""),"")</f>
        <v>1383547</v>
      </c>
      <c r="R15" s="222">
        <f>+IFERROR(IF(COUNT(Q15),ROUND(Q15/('Shareholding Pattern'!$P$79)*100,2),""),"")</f>
        <v>1</v>
      </c>
      <c r="S15" s="47">
        <v>23698</v>
      </c>
      <c r="T15" s="47">
        <v>1075000</v>
      </c>
      <c r="U15" s="457">
        <f>+IFERROR(IF(COUNT(S15:T15),ROUND(SUM(S15:T15),0),""),"")</f>
        <v>1098698</v>
      </c>
      <c r="V15" s="222">
        <f>+IFERROR(IF(COUNT(M15,U15),ROUND(SUM(U15,M15)/SUM('Shareholding Pattern'!$L$78,'Shareholding Pattern'!$T$78)*100,2),""),"")</f>
        <v>1.68</v>
      </c>
      <c r="W15" s="47"/>
      <c r="X15" s="221" t="str">
        <f>+IFERROR(IF(COUNT(W15),ROUND(SUM(W15)/SUM(M15)*100,2),""),0)</f>
        <v/>
      </c>
      <c r="Y15" s="47">
        <v>1383547</v>
      </c>
      <c r="Z15" s="265"/>
      <c r="AA15" s="47">
        <v>0</v>
      </c>
      <c r="AB15" s="47">
        <v>0</v>
      </c>
      <c r="AC15" s="47">
        <v>0</v>
      </c>
    </row>
    <row r="16" spans="4:54" ht="24.75" customHeight="1">
      <c r="D16" s="89">
        <v>2</v>
      </c>
      <c r="E16" s="456" t="s">
        <v>335</v>
      </c>
      <c r="F16" s="456" t="s">
        <v>34</v>
      </c>
      <c r="G16" s="270"/>
      <c r="H16" s="445"/>
      <c r="I16" s="47">
        <v>1</v>
      </c>
      <c r="J16" s="47">
        <v>4260</v>
      </c>
      <c r="K16" s="47"/>
      <c r="L16" s="47"/>
      <c r="M16" s="457">
        <f>+IFERROR(IF(COUNT(J16:L16),ROUND(SUM(J16:L16),0),""),"")</f>
        <v>4260</v>
      </c>
      <c r="N16" s="222">
        <f>+IFERROR(IF(COUNT(M16),ROUND(M16/'Shareholding Pattern'!$L$78*100,2),""),"")</f>
        <v>0</v>
      </c>
      <c r="O16" s="47">
        <v>4260</v>
      </c>
      <c r="P16" s="47"/>
      <c r="Q16" s="457">
        <f>+IFERROR(IF(COUNT(O16:P16),ROUND(SUM(O16,P16),2),""),"")</f>
        <v>4260</v>
      </c>
      <c r="R16" s="222">
        <f>+IFERROR(IF(COUNT(Q16),ROUND(Q16/('Shareholding Pattern'!$P$79)*100,2),""),"")</f>
        <v>0</v>
      </c>
      <c r="S16" s="47">
        <v>0</v>
      </c>
      <c r="T16" s="47">
        <v>0</v>
      </c>
      <c r="U16" s="457">
        <f>+IFERROR(IF(COUNT(S16:T16),ROUND(SUM(S16:T16),0),""),"")</f>
        <v>0</v>
      </c>
      <c r="V16" s="222">
        <f>+IFERROR(IF(COUNT(M16,U16),ROUND(SUM(U16,M16)/SUM('Shareholding Pattern'!$L$78,'Shareholding Pattern'!$T$78)*100,2),""),"")</f>
        <v>0</v>
      </c>
      <c r="W16" s="47"/>
      <c r="X16" s="221" t="str">
        <f>+IFERROR(IF(COUNT(W16),ROUND(SUM(W16)/SUM(M16)*100,2),""),0)</f>
        <v/>
      </c>
      <c r="Y16" s="47">
        <v>4260</v>
      </c>
      <c r="Z16" s="265"/>
      <c r="AA16" s="47">
        <v>0</v>
      </c>
      <c r="AB16" s="47">
        <v>0</v>
      </c>
      <c r="AC16" s="47">
        <v>0</v>
      </c>
    </row>
    <row r="17" spans="4:29" ht="24.75" customHeight="1">
      <c r="D17" s="89">
        <v>3</v>
      </c>
      <c r="E17" s="456" t="s">
        <v>347</v>
      </c>
      <c r="F17" s="456" t="s">
        <v>34</v>
      </c>
      <c r="G17" s="270"/>
      <c r="H17" s="445"/>
      <c r="I17" s="47">
        <v>8</v>
      </c>
      <c r="J17" s="47">
        <v>318414</v>
      </c>
      <c r="K17" s="47"/>
      <c r="L17" s="47"/>
      <c r="M17" s="457">
        <f>+IFERROR(IF(COUNT(J17:L17),ROUND(SUM(J17:L17),0),""),"")</f>
        <v>318414</v>
      </c>
      <c r="N17" s="222">
        <f>+IFERROR(IF(COUNT(M17),ROUND(M17/'Shareholding Pattern'!$L$78*100,2),""),"")</f>
        <v>0.23</v>
      </c>
      <c r="O17" s="47">
        <v>318414</v>
      </c>
      <c r="P17" s="47"/>
      <c r="Q17" s="457">
        <f>+IFERROR(IF(COUNT(O17:P17),ROUND(SUM(O17,P17),2),""),"")</f>
        <v>318414</v>
      </c>
      <c r="R17" s="222">
        <f>+IFERROR(IF(COUNT(Q17),ROUND(Q17/('Shareholding Pattern'!$P$79)*100,2),""),"")</f>
        <v>0.23</v>
      </c>
      <c r="S17" s="47">
        <v>0</v>
      </c>
      <c r="T17" s="47">
        <v>0</v>
      </c>
      <c r="U17" s="457">
        <f>+IFERROR(IF(COUNT(S17:T17),ROUND(SUM(S17:T17),0),""),"")</f>
        <v>0</v>
      </c>
      <c r="V17" s="222">
        <f>+IFERROR(IF(COUNT(M17,U17),ROUND(SUM(U17,M17)/SUM('Shareholding Pattern'!$L$78,'Shareholding Pattern'!$T$78)*100,2),""),"")</f>
        <v>0.22</v>
      </c>
      <c r="W17" s="47"/>
      <c r="X17" s="221" t="str">
        <f>+IFERROR(IF(COUNT(W17),ROUND(SUM(W17)/SUM(M17)*100,2),""),0)</f>
        <v/>
      </c>
      <c r="Y17" s="47">
        <v>318414</v>
      </c>
      <c r="Z17" s="265"/>
      <c r="AA17" s="47">
        <v>0</v>
      </c>
      <c r="AB17" s="47">
        <v>0</v>
      </c>
      <c r="AC17" s="47">
        <v>0</v>
      </c>
    </row>
    <row r="18" spans="4:29" ht="24.75" customHeight="1">
      <c r="D18" s="89">
        <v>4</v>
      </c>
      <c r="E18" s="456" t="s">
        <v>336</v>
      </c>
      <c r="F18" s="456" t="s">
        <v>34</v>
      </c>
      <c r="G18" s="270"/>
      <c r="H18" s="445"/>
      <c r="I18" s="47">
        <v>87</v>
      </c>
      <c r="J18" s="47">
        <v>1262969</v>
      </c>
      <c r="K18" s="47"/>
      <c r="L18" s="47"/>
      <c r="M18" s="457">
        <f>+IFERROR(IF(COUNT(J18:L18),ROUND(SUM(J18:L18),0),""),"")</f>
        <v>1262969</v>
      </c>
      <c r="N18" s="222">
        <f>+IFERROR(IF(COUNT(M18),ROUND(M18/'Shareholding Pattern'!$L$78*100,2),""),"")</f>
        <v>0.91</v>
      </c>
      <c r="O18" s="47">
        <v>1262969</v>
      </c>
      <c r="P18" s="47"/>
      <c r="Q18" s="457">
        <f>+IFERROR(IF(COUNT(O18:P18),ROUND(SUM(O18,P18),2),""),"")</f>
        <v>1262969</v>
      </c>
      <c r="R18" s="222">
        <f>+IFERROR(IF(COUNT(Q18),ROUND(Q18/('Shareholding Pattern'!$P$79)*100,2),""),"")</f>
        <v>0.91</v>
      </c>
      <c r="S18" s="47">
        <v>0</v>
      </c>
      <c r="T18" s="47">
        <v>0</v>
      </c>
      <c r="U18" s="457">
        <f>+IFERROR(IF(COUNT(S18:T18),ROUND(SUM(S18:T18),0),""),"")</f>
        <v>0</v>
      </c>
      <c r="V18" s="222">
        <f>+IFERROR(IF(COUNT(M18,U18),ROUND(SUM(U18,M18)/SUM('Shareholding Pattern'!$L$78,'Shareholding Pattern'!$T$78)*100,2),""),"")</f>
        <v>0.85</v>
      </c>
      <c r="W18" s="47"/>
      <c r="X18" s="221" t="str">
        <f>+IFERROR(IF(COUNT(W18),ROUND(SUM(W18)/SUM(M18)*100,2),""),0)</f>
        <v/>
      </c>
      <c r="Y18" s="47">
        <v>1262969</v>
      </c>
      <c r="Z18" s="265"/>
      <c r="AA18" s="47">
        <v>0</v>
      </c>
      <c r="AB18" s="47">
        <v>0</v>
      </c>
      <c r="AC18" s="47">
        <v>0</v>
      </c>
    </row>
    <row r="19" spans="4:29" hidden="1">
      <c r="D19" s="200"/>
      <c r="E19" s="18"/>
      <c r="F19" s="18"/>
      <c r="G19" s="18"/>
      <c r="H19" s="18"/>
      <c r="I19" s="18"/>
      <c r="J19" s="18"/>
      <c r="K19" s="198"/>
      <c r="L19" s="198"/>
      <c r="M19" s="18"/>
      <c r="N19" s="18"/>
      <c r="O19" s="198"/>
      <c r="P19" s="198"/>
      <c r="Q19" s="18"/>
      <c r="R19" s="18"/>
      <c r="S19" s="18"/>
      <c r="T19" s="18"/>
      <c r="U19" s="18"/>
      <c r="V19" s="18"/>
      <c r="W19" s="198"/>
      <c r="X19" s="18"/>
      <c r="Y19" s="201"/>
      <c r="Z19" s="201"/>
      <c r="AA19" s="201"/>
      <c r="AB19" s="201"/>
      <c r="AC19" s="199"/>
    </row>
    <row r="20" spans="4:29" ht="24.95" customHeight="1">
      <c r="D20" s="128"/>
      <c r="E20" s="36"/>
      <c r="F20" s="36"/>
      <c r="G20" s="60" t="s">
        <v>392</v>
      </c>
      <c r="H20" s="60" t="s">
        <v>19</v>
      </c>
      <c r="I20" s="64">
        <f ca="1">+IFERROR(IF(COUNT(I13:I19),ROUND(SUMIF($F$13:I19,"Category",I13:I19),0),""),"")</f>
        <v>106</v>
      </c>
      <c r="J20" s="64">
        <f ca="1">+IFERROR(IF(COUNT(J13:J19),ROUND(SUMIF($F$13:J19,"Category",J13:J19),0),""),"")</f>
        <v>2969190</v>
      </c>
      <c r="K20" s="64" t="str">
        <f>+IFERROR(IF(COUNT(K13:K19),ROUND(SUMIF($F$13:K19,"Category",K13:K19),0),""),"")</f>
        <v/>
      </c>
      <c r="L20" s="64" t="str">
        <f>+IFERROR(IF(COUNT(L13:L19),ROUND(SUMIF($F$13:L19,"Category",L13:L19),0),""),"")</f>
        <v/>
      </c>
      <c r="M20" s="64">
        <f ca="1">+IFERROR(IF(COUNT(M13:M19),ROUND(SUMIF($F$13:M19,"Category",M13:M19),0),""),"")</f>
        <v>2969190</v>
      </c>
      <c r="N20" s="221">
        <f ca="1">+IFERROR(IF(COUNT(N13:N19),ROUND(SUMIF($F$13:N19,"Category",N13:N19),2),""),"")</f>
        <v>2.14</v>
      </c>
      <c r="O20" s="185">
        <f ca="1">+IFERROR(IF(COUNT(O13:O19),ROUND(SUMIF($F$13:O19,"Category",O13:O19),0),""),"")</f>
        <v>2969190</v>
      </c>
      <c r="P20" s="185" t="str">
        <f>+IFERROR(IF(COUNT(P13:P19),ROUND(SUMIF($F$13:P19,"Category",P13:P19),0),""),"")</f>
        <v/>
      </c>
      <c r="Q20" s="185">
        <f ca="1">+IFERROR(IF(COUNT(Q13:Q19),ROUND(SUMIF($F$13:Q19,"Category",Q13:Q19),0),""),"")</f>
        <v>2969190</v>
      </c>
      <c r="R20" s="221">
        <f ca="1">+IFERROR(IF(COUNT(R13:R19),ROUND(SUMIF($F$13:R19,"Category",R13:R19),2),""),"")</f>
        <v>2.14</v>
      </c>
      <c r="S20" s="64">
        <f ca="1">+IFERROR(IF(COUNT(S13:S19),ROUND(SUMIF($F$13:S19,"Category",S13:S19),0),""),"")</f>
        <v>23698</v>
      </c>
      <c r="T20" s="64">
        <f ca="1">+IFERROR(IF(COUNT(T13:T19),ROUND(SUMIF($F$13:T19,"Category",T13:T19),0),""),"")</f>
        <v>1075000</v>
      </c>
      <c r="U20" s="64">
        <f ca="1">+IFERROR(IF(COUNT(U13:U19),ROUND(SUMIF($F$13:U19,"Category",U13:U19),0),""),"")</f>
        <v>1098698</v>
      </c>
      <c r="V20" s="221">
        <f ca="1">+IFERROR(IF(COUNT(V13:V19),ROUND(SUMIF($F$13:V19,"Category",V13:V19),2),""),"")</f>
        <v>2.75</v>
      </c>
      <c r="W20" s="64" t="str">
        <f>+IFERROR(IF(COUNT(W13:W19),ROUND(SUMIF($F$13:W19,"Category",W13:W19),0),""),"")</f>
        <v/>
      </c>
      <c r="X20" s="221" t="str">
        <f>+IFERROR(IF(COUNT(W20),ROUND(SUM(W20)/SUM(M20)*100,2),""),0)</f>
        <v/>
      </c>
      <c r="Y20" s="64">
        <f ca="1">+IFERROR(IF(COUNT(Y13:Y19),ROUND(SUMIF($F$13:Y19,"Category",Y13:Y19),0),""),"")</f>
        <v>2969190</v>
      </c>
      <c r="Z20" s="407"/>
      <c r="AA20" s="64">
        <f ca="1">+IFERROR(IF(COUNT(AA13:AA19),ROUND(SUMIF($F$13:AA19,"Category",AA13:AA19),0),""),"")</f>
        <v>0</v>
      </c>
      <c r="AB20" s="64">
        <f ca="1">+IFERROR(IF(COUNT(AB13:AB19),ROUND(SUMIF($F$13:AB19,"Category",AB13:AB19),0),""),"")</f>
        <v>0</v>
      </c>
      <c r="AC20" s="64">
        <f ca="1">+IFERROR(IF(COUNT(AC13:AC19),ROUND(SUMIF($F$13:AC19,"Category",AC13:AC19),0),""),"")</f>
        <v>0</v>
      </c>
    </row>
    <row r="23" spans="4:29">
      <c r="G23" s="102"/>
    </row>
  </sheetData>
  <sheetProtection algorithmName="SHA-512" hashValue="dJHtZf8+9f19lFmg1bZjY1DVLYGfrgAtVp7UuqkbRFtOi6Q9ar8afvvEoGvHwcIcMGg8Mgpt8ZjJHCFf+SElyw==" saltValue="uSLpzjO9k0EzpdPPlgBrzw==" spinCount="100000" sheet="1" objects="1" scenarios="1"/>
  <dataConsolidate/>
  <mergeCells count="23">
    <mergeCell ref="O9:R9"/>
    <mergeCell ref="S9:S11"/>
    <mergeCell ref="W9:X10"/>
    <mergeCell ref="K9:K11"/>
    <mergeCell ref="L9:L11"/>
    <mergeCell ref="M9:M11"/>
    <mergeCell ref="N9:N11"/>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s>
  <dataValidations count="10">
    <dataValidation type="whole" operator="lessThanOrEqual" allowBlank="1" showInputMessage="1" showErrorMessage="1" sqref="Y13 Y15:Y18">
      <formula1>M13</formula1>
    </dataValidation>
    <dataValidation type="whole" operator="lessThanOrEqual" allowBlank="1" showInputMessage="1" showErrorMessage="1" sqref="W13 W15:W18">
      <formula1>J13</formula1>
    </dataValidation>
    <dataValidation type="whole" operator="greaterThanOrEqual" allowBlank="1" showInputMessage="1" showErrorMessage="1" sqref="O13:P13 J13:L13 S13:T13 O15:P18 J15:L18 S15:T18">
      <formula1>0</formula1>
    </dataValidation>
    <dataValidation type="textLength" operator="equal" allowBlank="1" showInputMessage="1" showErrorMessage="1" prompt="[A-Z][A-Z][A-Z][A-Z][A-Z][0-9][0-9][0-9][0-9][A-Z]_x000a__x000a_In absence of PAN write : ZZZZZ9999Z" sqref="H13 H15:H18">
      <formula1>10</formula1>
    </dataValidation>
    <dataValidation type="list" allowBlank="1" showInputMessage="1" showErrorMessage="1" sqref="F13 F15:F18">
      <formula1>$AV$9:$AV$10</formula1>
    </dataValidation>
    <dataValidation type="list" allowBlank="1" showInputMessage="1" showErrorMessage="1" sqref="E13 E15:E18">
      <formula1>$AE$1:$BB$1</formula1>
    </dataValidation>
    <dataValidation type="whole" operator="greaterThan" allowBlank="1" showInputMessage="1" showErrorMessage="1" sqref="I13 I15:I18">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8">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8">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8">
      <formula1>M13</formula1>
    </dataValidation>
  </dataValidations>
  <hyperlinks>
    <hyperlink ref="H20" location="'Shareholding Pattern'!F48" display="Total"/>
    <hyperlink ref="G20"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25</xdr:col>
                    <xdr:colOff>66675</xdr:colOff>
                    <xdr:row>16</xdr:row>
                    <xdr:rowOff>66675</xdr:rowOff>
                  </from>
                  <to>
                    <xdr:col>25</xdr:col>
                    <xdr:colOff>1314450</xdr:colOff>
                    <xdr:row>16</xdr:row>
                    <xdr:rowOff>266700</xdr:rowOff>
                  </to>
                </anchor>
              </controlPr>
            </control>
          </mc:Choice>
        </mc:AlternateContent>
        <mc:AlternateContent xmlns:mc="http://schemas.openxmlformats.org/markup-compatibility/2006">
          <mc:Choice Requires="x14">
            <control shapeId="51204" r:id="rId7" name="Button 4">
              <controlPr defaultSize="0" print="0" autoFill="0" autoPict="0" macro="[0]!opentextblock">
                <anchor moveWithCells="1" sizeWithCells="1">
                  <from>
                    <xdr:col>25</xdr:col>
                    <xdr:colOff>66675</xdr:colOff>
                    <xdr:row>17</xdr:row>
                    <xdr:rowOff>66675</xdr:rowOff>
                  </from>
                  <to>
                    <xdr:col>25</xdr:col>
                    <xdr:colOff>1314450</xdr:colOff>
                    <xdr:row>17</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F11" sqref="F11"/>
    </sheetView>
  </sheetViews>
  <sheetFormatPr defaultColWidth="0" defaultRowHeight="15"/>
  <cols>
    <col min="1" max="2" width="2.7109375" style="18" hidden="1" customWidth="1"/>
    <col min="3" max="3" width="2.7109375" style="18" customWidth="1"/>
    <col min="4" max="4" width="72.140625" style="18" customWidth="1"/>
    <col min="5" max="5" width="24.140625" style="18" customWidth="1"/>
    <col min="6" max="6" width="18.140625" style="18" customWidth="1"/>
    <col min="7" max="7" width="20.7109375" style="18" customWidth="1"/>
    <col min="8" max="8" width="4" style="18" customWidth="1"/>
    <col min="9" max="10" width="1" style="18" hidden="1"/>
    <col min="11" max="14" width="2.7109375" style="18" hidden="1"/>
    <col min="15" max="16383" width="10.14062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31"/>
    </row>
    <row r="8" spans="4:14" ht="30" customHeight="1">
      <c r="D8" s="627" t="s">
        <v>842</v>
      </c>
      <c r="E8" s="628"/>
      <c r="F8" s="629"/>
      <c r="G8" s="432"/>
    </row>
    <row r="9" spans="4:14" ht="31.5">
      <c r="D9" s="414" t="s">
        <v>107</v>
      </c>
      <c r="E9" s="414" t="s">
        <v>858</v>
      </c>
      <c r="F9" s="414" t="s">
        <v>850</v>
      </c>
      <c r="G9" s="433"/>
    </row>
    <row r="10" spans="4:14" ht="20.100000000000001" customHeight="1">
      <c r="D10" s="318" t="s">
        <v>843</v>
      </c>
      <c r="E10" s="428">
        <v>100</v>
      </c>
      <c r="F10" s="429">
        <v>0.87</v>
      </c>
      <c r="G10" s="434"/>
      <c r="K10" s="18">
        <v>0</v>
      </c>
      <c r="L10" s="18">
        <v>0</v>
      </c>
      <c r="M10" s="18">
        <v>0</v>
      </c>
      <c r="N10" s="18">
        <v>0</v>
      </c>
    </row>
    <row r="11" spans="4:14" ht="20.100000000000001" customHeight="1">
      <c r="D11" s="319" t="s">
        <v>844</v>
      </c>
      <c r="E11" s="428">
        <v>100</v>
      </c>
      <c r="F11" s="428">
        <v>0.93</v>
      </c>
      <c r="G11" s="434"/>
      <c r="K11" s="18">
        <v>0</v>
      </c>
      <c r="L11" s="18">
        <v>0</v>
      </c>
      <c r="M11" s="18">
        <v>0</v>
      </c>
      <c r="N11" s="18">
        <v>0</v>
      </c>
    </row>
    <row r="12" spans="4:14" ht="20.100000000000001" customHeight="1">
      <c r="D12" s="319" t="s">
        <v>845</v>
      </c>
      <c r="E12" s="428">
        <v>100</v>
      </c>
      <c r="F12" s="428">
        <v>0.47</v>
      </c>
      <c r="G12" s="434"/>
      <c r="K12" s="18">
        <v>0</v>
      </c>
      <c r="L12" s="18">
        <v>0</v>
      </c>
      <c r="M12" s="18">
        <v>0</v>
      </c>
      <c r="N12" s="18">
        <v>0</v>
      </c>
    </row>
    <row r="13" spans="4:14">
      <c r="D13" s="319" t="s">
        <v>846</v>
      </c>
      <c r="E13" s="428">
        <v>100</v>
      </c>
      <c r="F13" s="428">
        <v>0.13</v>
      </c>
      <c r="G13" s="434"/>
      <c r="K13" s="18">
        <v>0</v>
      </c>
      <c r="L13" s="18">
        <v>0</v>
      </c>
      <c r="M13" s="18">
        <v>0</v>
      </c>
      <c r="N13" s="18">
        <v>0</v>
      </c>
    </row>
    <row r="14" spans="4:14" ht="21.75" customHeight="1">
      <c r="D14" s="321" t="s">
        <v>847</v>
      </c>
      <c r="E14" s="430">
        <v>100</v>
      </c>
      <c r="F14" s="430">
        <v>0.05</v>
      </c>
      <c r="G14" s="434"/>
      <c r="K14" s="18">
        <v>0</v>
      </c>
      <c r="L14" s="18">
        <v>0</v>
      </c>
      <c r="M14" s="18">
        <v>0</v>
      </c>
      <c r="N14" s="18">
        <v>0</v>
      </c>
    </row>
    <row r="15" spans="4:14" s="435" customFormat="1" ht="91.5" customHeight="1">
      <c r="D15" s="631" t="s">
        <v>857</v>
      </c>
      <c r="E15" s="632"/>
      <c r="F15" s="633"/>
      <c r="G15" s="436"/>
    </row>
    <row r="16" spans="4:14" ht="15" customHeight="1">
      <c r="D16" s="630"/>
      <c r="E16" s="630"/>
      <c r="F16" s="437"/>
    </row>
  </sheetData>
  <sheetProtection algorithmName="SHA-512" hashValue="P01dFYeTFFHdb1ubtDzCAuq96VrIbwk4IVx9dw5MBX6EkfLVRNZb6jqNVU7e+TNIWNpGsfD22Le+1CN7Z0RZeA==" saltValue="CAIY7bCkB5TwWovDB3UT+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5"/>
  <cols>
    <col min="1" max="1" width="42" customWidth="1"/>
    <col min="2" max="2" width="51.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13" t="s">
        <v>455</v>
      </c>
      <c r="B1" s="313" t="s">
        <v>213</v>
      </c>
      <c r="C1" s="313" t="s">
        <v>456</v>
      </c>
      <c r="D1" s="313" t="s">
        <v>214</v>
      </c>
      <c r="E1" s="313" t="s">
        <v>552</v>
      </c>
    </row>
    <row r="2" spans="1:5" ht="18.7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7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7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30">
      <c r="A80" s="325" t="s">
        <v>813</v>
      </c>
      <c r="B80" s="413"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7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7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7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7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7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7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7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75">
      <c r="A235" s="323" t="s">
        <v>848</v>
      </c>
      <c r="B235" s="323"/>
      <c r="C235" s="323"/>
      <c r="D235" s="323"/>
      <c r="E235" s="323"/>
    </row>
    <row r="236" spans="1:5" ht="105">
      <c r="A236" t="s">
        <v>851</v>
      </c>
      <c r="B236" t="s">
        <v>849</v>
      </c>
      <c r="C236" t="s">
        <v>247</v>
      </c>
      <c r="D236" t="s">
        <v>225</v>
      </c>
      <c r="E236" s="413" t="s">
        <v>855</v>
      </c>
    </row>
    <row r="237" spans="1:5" ht="105">
      <c r="A237" t="s">
        <v>853</v>
      </c>
      <c r="B237" t="s">
        <v>850</v>
      </c>
      <c r="C237" t="s">
        <v>247</v>
      </c>
      <c r="D237" t="s">
        <v>225</v>
      </c>
      <c r="E237" s="413" t="s">
        <v>855</v>
      </c>
    </row>
    <row r="238" spans="1:5" ht="105">
      <c r="A238" t="s">
        <v>854</v>
      </c>
      <c r="B238" t="s">
        <v>852</v>
      </c>
      <c r="C238" t="s">
        <v>247</v>
      </c>
      <c r="D238" t="s">
        <v>225</v>
      </c>
      <c r="E238" s="413"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5"/>
  <cols>
    <col min="1" max="1" width="2.7109375" hidden="1" customWidth="1"/>
    <col min="2" max="2" width="2.7109375" customWidth="1"/>
    <col min="3" max="3" width="7.140625" customWidth="1"/>
    <col min="4" max="6" width="35.7109375" customWidth="1"/>
    <col min="7" max="7" width="13.7109375" customWidth="1"/>
    <col min="8" max="9" width="20.7109375" customWidth="1"/>
    <col min="10" max="11" width="20.7109375" hidden="1" customWidth="1"/>
    <col min="12" max="14" width="20.7109375" customWidth="1"/>
    <col min="15" max="15" width="20.7109375" hidden="1" customWidth="1"/>
    <col min="16" max="17" width="20.7109375" customWidth="1"/>
    <col min="18" max="20" width="20.7109375" hidden="1" customWidth="1"/>
    <col min="21" max="21" width="20.7109375" customWidth="1"/>
    <col min="22" max="23" width="20.7109375" hidden="1" customWidth="1"/>
    <col min="24" max="25" width="20.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34" t="s">
        <v>122</v>
      </c>
      <c r="D9" s="612" t="s">
        <v>34</v>
      </c>
      <c r="E9" s="564" t="s">
        <v>121</v>
      </c>
      <c r="F9" s="564" t="s">
        <v>118</v>
      </c>
      <c r="G9" s="564" t="s">
        <v>1</v>
      </c>
      <c r="H9" s="524" t="s">
        <v>368</v>
      </c>
      <c r="I9" s="564" t="s">
        <v>3</v>
      </c>
      <c r="J9" s="564" t="s">
        <v>4</v>
      </c>
      <c r="K9" s="564" t="s">
        <v>5</v>
      </c>
      <c r="L9" s="564" t="s">
        <v>6</v>
      </c>
      <c r="M9" s="564" t="s">
        <v>7</v>
      </c>
      <c r="N9" s="564" t="s">
        <v>8</v>
      </c>
      <c r="O9" s="564"/>
      <c r="P9" s="564"/>
      <c r="Q9" s="564"/>
      <c r="R9" s="564" t="s">
        <v>9</v>
      </c>
      <c r="S9" s="612" t="s">
        <v>447</v>
      </c>
      <c r="T9" s="612" t="s">
        <v>116</v>
      </c>
      <c r="U9" s="564" t="s">
        <v>89</v>
      </c>
      <c r="V9" s="564" t="s">
        <v>12</v>
      </c>
      <c r="W9" s="564"/>
      <c r="X9" s="564" t="s">
        <v>14</v>
      </c>
      <c r="Y9" s="524" t="s">
        <v>441</v>
      </c>
    </row>
    <row r="10" spans="3:30" ht="31.5" customHeight="1">
      <c r="C10" s="635"/>
      <c r="D10" s="610"/>
      <c r="E10" s="564"/>
      <c r="F10" s="564"/>
      <c r="G10" s="564"/>
      <c r="H10" s="564"/>
      <c r="I10" s="564"/>
      <c r="J10" s="564"/>
      <c r="K10" s="564"/>
      <c r="L10" s="564"/>
      <c r="M10" s="564"/>
      <c r="N10" s="564" t="s">
        <v>15</v>
      </c>
      <c r="O10" s="564"/>
      <c r="P10" s="564"/>
      <c r="Q10" s="564" t="s">
        <v>16</v>
      </c>
      <c r="R10" s="564"/>
      <c r="S10" s="610"/>
      <c r="T10" s="610"/>
      <c r="U10" s="564"/>
      <c r="V10" s="564"/>
      <c r="W10" s="564"/>
      <c r="X10" s="564"/>
      <c r="Y10" s="564"/>
    </row>
    <row r="11" spans="3:30" ht="78.75" customHeight="1">
      <c r="C11" s="636"/>
      <c r="D11" s="611"/>
      <c r="E11" s="564"/>
      <c r="F11" s="564"/>
      <c r="G11" s="564"/>
      <c r="H11" s="564"/>
      <c r="I11" s="564"/>
      <c r="J11" s="564"/>
      <c r="K11" s="564"/>
      <c r="L11" s="564"/>
      <c r="M11" s="564"/>
      <c r="N11" s="40" t="s">
        <v>17</v>
      </c>
      <c r="O11" s="40" t="s">
        <v>18</v>
      </c>
      <c r="P11" s="40" t="s">
        <v>19</v>
      </c>
      <c r="Q11" s="564"/>
      <c r="R11" s="564"/>
      <c r="S11" s="611"/>
      <c r="T11" s="611"/>
      <c r="U11" s="564"/>
      <c r="V11" s="40" t="s">
        <v>20</v>
      </c>
      <c r="W11" s="40" t="s">
        <v>21</v>
      </c>
      <c r="X11" s="564"/>
      <c r="Y11" s="564"/>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4.9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4.9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00000000000001"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password="F884"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abSelected="1"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6" width="13.7109375" customWidth="1"/>
    <col min="7"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4" width="20.710937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45" customHeight="1">
      <c r="D9" s="612" t="s">
        <v>119</v>
      </c>
      <c r="E9" s="564" t="s">
        <v>118</v>
      </c>
      <c r="F9" s="564" t="s">
        <v>1</v>
      </c>
      <c r="G9" s="524" t="s">
        <v>368</v>
      </c>
      <c r="H9" s="564" t="s">
        <v>3</v>
      </c>
      <c r="I9" s="564" t="s">
        <v>4</v>
      </c>
      <c r="J9" s="564" t="s">
        <v>5</v>
      </c>
      <c r="K9" s="564" t="s">
        <v>6</v>
      </c>
      <c r="L9" s="564" t="s">
        <v>7</v>
      </c>
      <c r="M9" s="564" t="s">
        <v>8</v>
      </c>
      <c r="N9" s="564"/>
      <c r="O9" s="564"/>
      <c r="P9" s="564"/>
      <c r="Q9" s="564" t="s">
        <v>9</v>
      </c>
      <c r="R9" s="612" t="s">
        <v>447</v>
      </c>
      <c r="S9" s="612" t="s">
        <v>116</v>
      </c>
      <c r="T9" s="564" t="s">
        <v>89</v>
      </c>
      <c r="U9" s="564" t="s">
        <v>12</v>
      </c>
      <c r="V9" s="564"/>
      <c r="W9" s="564" t="s">
        <v>14</v>
      </c>
      <c r="X9" s="524" t="s">
        <v>441</v>
      </c>
    </row>
    <row r="10" spans="4:30" ht="31.5" customHeight="1">
      <c r="D10" s="610"/>
      <c r="E10" s="564"/>
      <c r="F10" s="564"/>
      <c r="G10" s="564"/>
      <c r="H10" s="564"/>
      <c r="I10" s="564"/>
      <c r="J10" s="564"/>
      <c r="K10" s="564"/>
      <c r="L10" s="564"/>
      <c r="M10" s="564" t="s">
        <v>15</v>
      </c>
      <c r="N10" s="564"/>
      <c r="O10" s="564"/>
      <c r="P10" s="564" t="s">
        <v>16</v>
      </c>
      <c r="Q10" s="564"/>
      <c r="R10" s="610"/>
      <c r="S10" s="610"/>
      <c r="T10" s="564"/>
      <c r="U10" s="564"/>
      <c r="V10" s="564"/>
      <c r="W10" s="564"/>
      <c r="X10" s="564"/>
    </row>
    <row r="11" spans="4:30" ht="45">
      <c r="D11" s="611"/>
      <c r="E11" s="564"/>
      <c r="F11" s="564"/>
      <c r="G11" s="564"/>
      <c r="H11" s="564"/>
      <c r="I11" s="564"/>
      <c r="J11" s="564"/>
      <c r="K11" s="564"/>
      <c r="L11" s="564"/>
      <c r="M11" s="58" t="s">
        <v>17</v>
      </c>
      <c r="N11" s="58" t="s">
        <v>18</v>
      </c>
      <c r="O11" s="58" t="s">
        <v>19</v>
      </c>
      <c r="P11" s="564"/>
      <c r="Q11" s="564"/>
      <c r="R11" s="611"/>
      <c r="S11" s="611"/>
      <c r="T11" s="564"/>
      <c r="U11" s="58" t="s">
        <v>20</v>
      </c>
      <c r="V11" s="58" t="s">
        <v>21</v>
      </c>
      <c r="W11" s="564"/>
      <c r="X11" s="564"/>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4.9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00000000000001"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25" t="s">
        <v>375</v>
      </c>
      <c r="F9" s="526"/>
      <c r="G9" s="526"/>
      <c r="H9" s="526"/>
      <c r="I9" s="527"/>
      <c r="J9" s="101"/>
    </row>
    <row r="10" spans="5:10">
      <c r="E10" s="612" t="s">
        <v>119</v>
      </c>
      <c r="F10" s="609" t="s">
        <v>126</v>
      </c>
      <c r="G10" s="609" t="s">
        <v>127</v>
      </c>
      <c r="H10" s="609" t="s">
        <v>325</v>
      </c>
      <c r="I10" s="609" t="s">
        <v>326</v>
      </c>
      <c r="J10" s="101"/>
    </row>
    <row r="11" spans="5:10">
      <c r="E11" s="637"/>
      <c r="F11" s="537"/>
      <c r="G11" s="610"/>
      <c r="H11" s="537"/>
      <c r="I11" s="537"/>
      <c r="J11" s="101"/>
    </row>
    <row r="12" spans="5:10">
      <c r="E12" s="638"/>
      <c r="F12" s="523"/>
      <c r="G12" s="611"/>
      <c r="H12" s="523"/>
      <c r="I12" s="523"/>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5"/>
  <sheetData>
    <row r="1" spans="2:2">
      <c r="B1" s="353"/>
    </row>
    <row r="2" spans="2:2">
      <c r="B2" s="353"/>
    </row>
    <row r="3" spans="2:2">
      <c r="B3" s="353"/>
    </row>
    <row r="4" spans="2:2">
      <c r="B4" s="353"/>
    </row>
    <row r="5" spans="2:2">
      <c r="B5" s="353"/>
    </row>
    <row r="6" spans="2:2">
      <c r="B6" s="353"/>
    </row>
    <row r="7" spans="2:2">
      <c r="B7" s="353"/>
    </row>
    <row r="8" spans="2:2">
      <c r="B8" s="353"/>
    </row>
    <row r="9" spans="2:2">
      <c r="B9" s="353"/>
    </row>
    <row r="10" spans="2:2">
      <c r="B10" s="353"/>
    </row>
    <row r="11" spans="2:2">
      <c r="B11" s="353"/>
    </row>
    <row r="12" spans="2:2">
      <c r="B12" s="353"/>
    </row>
    <row r="13" spans="2:2">
      <c r="B13" s="353"/>
    </row>
    <row r="14" spans="2:2">
      <c r="B14" s="353"/>
    </row>
    <row r="15" spans="2:2">
      <c r="B15" s="353"/>
    </row>
    <row r="16" spans="2:2">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F10" sqref="F10:F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641" t="s">
        <v>370</v>
      </c>
      <c r="E9" s="642"/>
      <c r="F9" s="642"/>
      <c r="G9" s="642"/>
      <c r="H9" s="643"/>
    </row>
    <row r="10" spans="4:9">
      <c r="D10" s="612" t="s">
        <v>119</v>
      </c>
      <c r="E10" s="609" t="s">
        <v>546</v>
      </c>
      <c r="F10" s="609" t="s">
        <v>128</v>
      </c>
      <c r="G10" s="609" t="s">
        <v>129</v>
      </c>
      <c r="H10" s="609" t="s">
        <v>130</v>
      </c>
    </row>
    <row r="11" spans="4:9">
      <c r="D11" s="639"/>
      <c r="E11" s="639"/>
      <c r="F11" s="537"/>
      <c r="G11" s="610"/>
      <c r="H11" s="537"/>
    </row>
    <row r="12" spans="4:9">
      <c r="D12" s="640"/>
      <c r="E12" s="640"/>
      <c r="F12" s="523"/>
      <c r="G12" s="611"/>
      <c r="H12" s="523"/>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525" t="s">
        <v>371</v>
      </c>
      <c r="F9" s="526"/>
      <c r="G9" s="526"/>
      <c r="H9" s="526"/>
      <c r="I9" s="104"/>
    </row>
    <row r="10" spans="5:9">
      <c r="E10" s="612" t="s">
        <v>119</v>
      </c>
      <c r="F10" s="609" t="s">
        <v>126</v>
      </c>
      <c r="G10" s="609" t="s">
        <v>127</v>
      </c>
      <c r="H10" s="609" t="s">
        <v>131</v>
      </c>
      <c r="I10" s="644" t="s">
        <v>327</v>
      </c>
    </row>
    <row r="11" spans="5:9">
      <c r="E11" s="639"/>
      <c r="F11" s="537"/>
      <c r="G11" s="610"/>
      <c r="H11" s="537"/>
      <c r="I11" s="645"/>
    </row>
    <row r="12" spans="5:9">
      <c r="E12" s="640"/>
      <c r="F12" s="523"/>
      <c r="G12" s="611"/>
      <c r="H12" s="523"/>
      <c r="I12" s="646"/>
    </row>
    <row r="13" spans="5:9" hidden="1">
      <c r="E13" s="191"/>
      <c r="F13" s="16"/>
      <c r="G13" s="99"/>
      <c r="H13" s="99"/>
      <c r="I13" s="105"/>
    </row>
    <row r="14" spans="5:9" ht="24.75" customHeight="1">
      <c r="E14" s="12"/>
      <c r="F14" s="55"/>
      <c r="G14" s="55"/>
      <c r="H14" s="55"/>
      <c r="I14" s="243"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Praveen</cp:lastModifiedBy>
  <cp:lastPrinted>2016-09-08T06:44:45Z</cp:lastPrinted>
  <dcterms:created xsi:type="dcterms:W3CDTF">2015-12-16T12:56:50Z</dcterms:created>
  <dcterms:modified xsi:type="dcterms:W3CDTF">2024-10-19T08:27:55Z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